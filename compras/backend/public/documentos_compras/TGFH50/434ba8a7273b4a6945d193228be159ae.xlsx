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1359DA4-5191-4B48-AA6B-7F9474326889}" xr6:coauthVersionLast="47" xr6:coauthVersionMax="47" xr10:uidLastSave="{00000000-0000-0000-0000-000000000000}"/>
  <bookViews>
    <workbookView xWindow="-120" yWindow="-120" windowWidth="20730" windowHeight="11160" xr2:uid="{FB50D2A1-1859-41CA-B0A0-AA48169F60BF}"/>
  </bookViews>
  <sheets>
    <sheet name="Planilha1" sheetId="1" r:id="rId1"/>
    <sheet name="emergencia" sheetId="2" r:id="rId2"/>
  </sheets>
  <definedNames>
    <definedName name="_xlnm._FilterDatabase" localSheetId="0" hidden="1">Planilha1!$A$1:$K$125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9" i="1" l="1"/>
  <c r="J118" i="1"/>
  <c r="J116" i="1"/>
  <c r="J100" i="1"/>
  <c r="J97" i="1"/>
  <c r="J65" i="1"/>
  <c r="J23" i="1"/>
  <c r="J15" i="1"/>
  <c r="J47" i="1"/>
  <c r="J44" i="1"/>
  <c r="J57" i="1"/>
  <c r="J41" i="1"/>
  <c r="J3" i="1"/>
  <c r="J4" i="1"/>
  <c r="J5" i="1"/>
  <c r="J6" i="1"/>
  <c r="J7" i="1"/>
  <c r="J8" i="1"/>
  <c r="J9" i="1"/>
  <c r="J10" i="1"/>
  <c r="J11" i="1"/>
  <c r="J12" i="1"/>
  <c r="J13" i="1"/>
  <c r="J14" i="1"/>
  <c r="J16" i="1"/>
  <c r="J17" i="1"/>
  <c r="J18" i="1"/>
  <c r="J19" i="1"/>
  <c r="J20" i="1"/>
  <c r="J21" i="1"/>
  <c r="J22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3" i="1"/>
  <c r="J46" i="1"/>
  <c r="J49" i="1"/>
  <c r="J50" i="1"/>
  <c r="J51" i="1"/>
  <c r="J52" i="1"/>
  <c r="J53" i="1"/>
  <c r="J54" i="1"/>
  <c r="J55" i="1"/>
  <c r="J56" i="1"/>
  <c r="J58" i="1"/>
  <c r="J59" i="1"/>
  <c r="J60" i="1"/>
  <c r="J61" i="1"/>
  <c r="J62" i="1"/>
  <c r="J63" i="1"/>
  <c r="J64" i="1"/>
  <c r="J66" i="1"/>
  <c r="J67" i="1"/>
  <c r="J68" i="1"/>
  <c r="J69" i="1"/>
  <c r="J94" i="1"/>
  <c r="J95" i="1"/>
  <c r="J96" i="1"/>
  <c r="J98" i="1"/>
  <c r="J99" i="1"/>
  <c r="J101" i="1"/>
  <c r="J102" i="1"/>
  <c r="J103" i="1"/>
  <c r="J104" i="1"/>
  <c r="J105" i="1"/>
  <c r="J111" i="1"/>
  <c r="J112" i="1"/>
  <c r="J113" i="1"/>
  <c r="J114" i="1"/>
  <c r="J115" i="1"/>
  <c r="J117" i="1"/>
  <c r="J120" i="1"/>
  <c r="J121" i="1"/>
  <c r="J122" i="1"/>
  <c r="J123" i="1"/>
  <c r="J124" i="1"/>
  <c r="J125" i="1"/>
  <c r="J2" i="1"/>
</calcChain>
</file>

<file path=xl/sharedStrings.xml><?xml version="1.0" encoding="utf-8"?>
<sst xmlns="http://schemas.openxmlformats.org/spreadsheetml/2006/main" count="1013" uniqueCount="325">
  <si>
    <t>Grupo</t>
  </si>
  <si>
    <t>Descrição</t>
  </si>
  <si>
    <t>Saldo em Estoque</t>
  </si>
  <si>
    <t>71/FERRAM CURITIBA PR</t>
  </si>
  <si>
    <t>1001663</t>
  </si>
  <si>
    <t>ADAPTADOR P/ CONECTOR SC-APC (POWER METER)</t>
  </si>
  <si>
    <t>18</t>
  </si>
  <si>
    <t>0</t>
  </si>
  <si>
    <t>2</t>
  </si>
  <si>
    <t>KIT GPON</t>
  </si>
  <si>
    <t>1001719</t>
  </si>
  <si>
    <t>ALICATE COMPRESSÃO  P/ CABO COAXIAL RG11</t>
  </si>
  <si>
    <t>38</t>
  </si>
  <si>
    <t>21</t>
  </si>
  <si>
    <t>1000032</t>
  </si>
  <si>
    <t>ALICATE DE BICO 6</t>
  </si>
  <si>
    <t>12</t>
  </si>
  <si>
    <t>35</t>
  </si>
  <si>
    <t>1000033</t>
  </si>
  <si>
    <t>ALICATE DE CORTE 6</t>
  </si>
  <si>
    <t>6</t>
  </si>
  <si>
    <t>1001306</t>
  </si>
  <si>
    <t>ALICATE DE GRIMPAR RJ11 / RJ45</t>
  </si>
  <si>
    <t>30</t>
  </si>
  <si>
    <t>1008878</t>
  </si>
  <si>
    <t>ALICATE DECAPADOR COAXIAL RG6/RG7</t>
  </si>
  <si>
    <t>20</t>
  </si>
  <si>
    <t>1000037</t>
  </si>
  <si>
    <t>ALICATE DECAPADOR DE FIBRA OPTICA</t>
  </si>
  <si>
    <t>31</t>
  </si>
  <si>
    <t>15</t>
  </si>
  <si>
    <t>1000039</t>
  </si>
  <si>
    <t>ALICATE UNIVERSAL 8</t>
  </si>
  <si>
    <t>24</t>
  </si>
  <si>
    <t>1000048</t>
  </si>
  <si>
    <t>BADISCO DIGITAL GANDOLA</t>
  </si>
  <si>
    <t>34</t>
  </si>
  <si>
    <t>1000049</t>
  </si>
  <si>
    <t>BALDE DE LONA</t>
  </si>
  <si>
    <t>7</t>
  </si>
  <si>
    <t>23</t>
  </si>
  <si>
    <t>4</t>
  </si>
  <si>
    <t>9</t>
  </si>
  <si>
    <t>19</t>
  </si>
  <si>
    <t>1000065</t>
  </si>
  <si>
    <t>BOLSA DE LONA</t>
  </si>
  <si>
    <t>45</t>
  </si>
  <si>
    <t>1001307</t>
  </si>
  <si>
    <t>BOLSA P/ KIT FIBRA OPTICA</t>
  </si>
  <si>
    <t>1008891</t>
  </si>
  <si>
    <t>BROCA 3 PONTAS P/ MADEIRA 10MM</t>
  </si>
  <si>
    <t>59</t>
  </si>
  <si>
    <t>1001986</t>
  </si>
  <si>
    <t>BROCA 3 PONTAS P/ MADEIRA 8MM</t>
  </si>
  <si>
    <t>145</t>
  </si>
  <si>
    <t>1001702</t>
  </si>
  <si>
    <t>BROCA CHATA MADEIRA 10 MM X 150 MM</t>
  </si>
  <si>
    <t>39</t>
  </si>
  <si>
    <t>1001701</t>
  </si>
  <si>
    <t>BROCA CHATA MADEIRA 8 MM X 150 MM</t>
  </si>
  <si>
    <t>13</t>
  </si>
  <si>
    <t>1001686</t>
  </si>
  <si>
    <t>BROCA DE AÇO RÁPIDO 8MM</t>
  </si>
  <si>
    <t>52</t>
  </si>
  <si>
    <t>8</t>
  </si>
  <si>
    <t>1001680</t>
  </si>
  <si>
    <t>BROCA DE WIDEA 10MM X 400MM ( LONGA)</t>
  </si>
  <si>
    <t>25</t>
  </si>
  <si>
    <t>1002196</t>
  </si>
  <si>
    <t>BROCA DE WIDEA PARAC ONCRETO 10X120MM</t>
  </si>
  <si>
    <t>36</t>
  </si>
  <si>
    <t>1</t>
  </si>
  <si>
    <t>1000095</t>
  </si>
  <si>
    <t>BROCA WIDIA 8MM</t>
  </si>
  <si>
    <t>112</t>
  </si>
  <si>
    <t>3</t>
  </si>
  <si>
    <t>1008890</t>
  </si>
  <si>
    <t>CAMERA SONDA ENDOSCOPICA- 5 M</t>
  </si>
  <si>
    <t>1001667</t>
  </si>
  <si>
    <t>CANETA  P/ LIMPEZA DE CONECTOR 2.5mm</t>
  </si>
  <si>
    <t>28</t>
  </si>
  <si>
    <t>1001122</t>
  </si>
  <si>
    <t>CANETA OPTICA - VISUAL FAULT RY V3105</t>
  </si>
  <si>
    <t>40</t>
  </si>
  <si>
    <t>1001146</t>
  </si>
  <si>
    <t>CHAVE DE ARMÁRIO TRIANGULAR</t>
  </si>
  <si>
    <t>32</t>
  </si>
  <si>
    <t>1000183</t>
  </si>
  <si>
    <t>CHAVE DE FENDA GRANDE</t>
  </si>
  <si>
    <t>10</t>
  </si>
  <si>
    <t>1000184</t>
  </si>
  <si>
    <t>CHAVE DE FENDA MEDIA</t>
  </si>
  <si>
    <t>26</t>
  </si>
  <si>
    <t>1000185</t>
  </si>
  <si>
    <t>CHAVE DE FENDA PEQUENA</t>
  </si>
  <si>
    <t>1006116</t>
  </si>
  <si>
    <t>CHAVE GTP TRAVA E DESTRAVA CURTA</t>
  </si>
  <si>
    <t>41</t>
  </si>
  <si>
    <t>1001707</t>
  </si>
  <si>
    <t>CHAVE MINI TRAP ST1 P/ CONECTOR RG 59/6 F-7/16</t>
  </si>
  <si>
    <t>1000195</t>
  </si>
  <si>
    <t>CHAVE P/ CAIXA SUBTERRANEA</t>
  </si>
  <si>
    <t>29</t>
  </si>
  <si>
    <t>1000196</t>
  </si>
  <si>
    <t>CHAVE PHILIPS GRANDE</t>
  </si>
  <si>
    <t>1000197</t>
  </si>
  <si>
    <t>CHAVE PHILIPS MEDIA</t>
  </si>
  <si>
    <t>1000198</t>
  </si>
  <si>
    <t>CHAVE PHILIPS PEQUENA</t>
  </si>
  <si>
    <t>1001741</t>
  </si>
  <si>
    <t>CHAVE TORQUE PARA CONECTOR 20K</t>
  </si>
  <si>
    <t>1000205</t>
  </si>
  <si>
    <t>CLIVADOR DE PRECISÃO OPTICO</t>
  </si>
  <si>
    <t>1000224</t>
  </si>
  <si>
    <t>CORRENTE C/ CADEADO SEGURANÇA</t>
  </si>
  <si>
    <t>5</t>
  </si>
  <si>
    <t>1001299</t>
  </si>
  <si>
    <t>DECAPADOR PARA CABO DROP</t>
  </si>
  <si>
    <t>17</t>
  </si>
  <si>
    <t>22</t>
  </si>
  <si>
    <t>11</t>
  </si>
  <si>
    <t>16</t>
  </si>
  <si>
    <t>49</t>
  </si>
  <si>
    <t>33</t>
  </si>
  <si>
    <t>1001488</t>
  </si>
  <si>
    <t>ESCADA 5 DEGRAUS DOMESTICA</t>
  </si>
  <si>
    <t>1001284</t>
  </si>
  <si>
    <t>ESCADA 7,20 MTS</t>
  </si>
  <si>
    <t>1000243</t>
  </si>
  <si>
    <t>ESCADA DE FIBRA EXTENSIVEL 3,60 X 6,00</t>
  </si>
  <si>
    <t>14</t>
  </si>
  <si>
    <t>1000254</t>
  </si>
  <si>
    <t>ESTILETE</t>
  </si>
  <si>
    <t>1000256</t>
  </si>
  <si>
    <t>EXTENSÃO 20 MTS</t>
  </si>
  <si>
    <t>1000258</t>
  </si>
  <si>
    <t>EXTENSAO ELET. 10MTS</t>
  </si>
  <si>
    <t>1001264</t>
  </si>
  <si>
    <t>FERRO DE ABRIR CAIXA TIPO T</t>
  </si>
  <si>
    <t>37</t>
  </si>
  <si>
    <t>1000284</t>
  </si>
  <si>
    <t>FURADEIRA - IMPACTO</t>
  </si>
  <si>
    <t>1001940</t>
  </si>
  <si>
    <t>FURADEIRA SKIL MODELO 6662 550W 127V</t>
  </si>
  <si>
    <t>1001668</t>
  </si>
  <si>
    <t>GABARITO AZUL  (CLIVADOR)</t>
  </si>
  <si>
    <t>1000536</t>
  </si>
  <si>
    <t>JOGO DE CHAVES ALLEN</t>
  </si>
  <si>
    <t>1001552</t>
  </si>
  <si>
    <t>KIT DE CHAVE RELOJOEIRO C/ 6 PÇS</t>
  </si>
  <si>
    <t>1000321</t>
  </si>
  <si>
    <t>LANTERNA RECARREGÁVEL DE TESTA</t>
  </si>
  <si>
    <t>63</t>
  </si>
  <si>
    <t>1000340</t>
  </si>
  <si>
    <t>MAQUINA FUSIMEC</t>
  </si>
  <si>
    <t>1000348</t>
  </si>
  <si>
    <t>MARTELO UNHA</t>
  </si>
  <si>
    <t>1000363</t>
  </si>
  <si>
    <t>MULTIMETRO DIGITAL</t>
  </si>
  <si>
    <t>1001736</t>
  </si>
  <si>
    <t>ORGANIZADOR GRANDE</t>
  </si>
  <si>
    <t>1000373</t>
  </si>
  <si>
    <t>PA DE PLASTICO</t>
  </si>
  <si>
    <t>1001600</t>
  </si>
  <si>
    <t>PANO DE LIMPEZA</t>
  </si>
  <si>
    <t>1000545</t>
  </si>
  <si>
    <t>PILHA AA</t>
  </si>
  <si>
    <t>117</t>
  </si>
  <si>
    <t>1006136</t>
  </si>
  <si>
    <t>PILHA AAA</t>
  </si>
  <si>
    <t>286</t>
  </si>
  <si>
    <t>1000417</t>
  </si>
  <si>
    <t>POWER MEETER</t>
  </si>
  <si>
    <t>1001669</t>
  </si>
  <si>
    <t>RECIPIENTE PARA ALCOOL</t>
  </si>
  <si>
    <t>46</t>
  </si>
  <si>
    <t>1000470</t>
  </si>
  <si>
    <t>TRENA FIBRA DE VIDRO 50M</t>
  </si>
  <si>
    <t>1001649</t>
  </si>
  <si>
    <t>VASSOURA PIACAVA</t>
  </si>
  <si>
    <t>72/SSO - CLARO IAT - PR</t>
  </si>
  <si>
    <t>1001850</t>
  </si>
  <si>
    <t>ANEL DE ANCORAGEM 1,50M</t>
  </si>
  <si>
    <t>1006180</t>
  </si>
  <si>
    <t>ANEL DE ANCORAGEM 2,00 MT</t>
  </si>
  <si>
    <t>1000052</t>
  </si>
  <si>
    <t>BANDEROLA DE SINALIZAÇÃO</t>
  </si>
  <si>
    <t>1001864</t>
  </si>
  <si>
    <t>BOLSA DE LONA PARA  KIT LINHA DE VIDA</t>
  </si>
  <si>
    <t>1001248</t>
  </si>
  <si>
    <t>BOTA DE COURO SEM CADARÇO TAM. 36</t>
  </si>
  <si>
    <t>1001249</t>
  </si>
  <si>
    <t>BOTA DE COURO SEM CADARÇO TAM. 37</t>
  </si>
  <si>
    <t>1000068</t>
  </si>
  <si>
    <t>BOTA DE COURO SEM CADARÇO TAM. 38</t>
  </si>
  <si>
    <t>1000072</t>
  </si>
  <si>
    <t>BOTA DE COURO SEM CADARÇO TAM. 42</t>
  </si>
  <si>
    <t>1000073</t>
  </si>
  <si>
    <t>BOTA DE COURO SEM CADARÇO TAM. 43</t>
  </si>
  <si>
    <t>1000074</t>
  </si>
  <si>
    <t>BOTA DE COURO SEM CADARÇO TAM. 44</t>
  </si>
  <si>
    <t>1000075</t>
  </si>
  <si>
    <t>BOTA DE COURO SEM CADARÇO TAM. 45</t>
  </si>
  <si>
    <t>1000076</t>
  </si>
  <si>
    <t>BOTA DE COURO SEM CADARÇO TAM. 46</t>
  </si>
  <si>
    <t>1002169</t>
  </si>
  <si>
    <t>CALÇA CLARO FFA CINZA - EXGG</t>
  </si>
  <si>
    <t>1002148</t>
  </si>
  <si>
    <t>CALÇA CLARO FFA CINZA - P</t>
  </si>
  <si>
    <t>1001700</t>
  </si>
  <si>
    <t>CALÇA CLARO FFA CINZA  - EXG</t>
  </si>
  <si>
    <t>1001698</t>
  </si>
  <si>
    <t>CALÇA CLARO FFA CINZA  - GG</t>
  </si>
  <si>
    <t>1001699</t>
  </si>
  <si>
    <t>CALÇA CLARO FFA CINZA  - XG</t>
  </si>
  <si>
    <t>1006857</t>
  </si>
  <si>
    <t>CAMISA GOLA POLO CLARO VERMELHO - EXG</t>
  </si>
  <si>
    <t>1002147</t>
  </si>
  <si>
    <t>CAMISA GOLA POLO CLARO VERMELHO - EXG1</t>
  </si>
  <si>
    <t>70</t>
  </si>
  <si>
    <t>1006854</t>
  </si>
  <si>
    <t>CAMISA GOLA POLO CLARO VERMELHO - GG</t>
  </si>
  <si>
    <t>1006852</t>
  </si>
  <si>
    <t>CAMISA GOLA POLO CLARO VERMELHO - M</t>
  </si>
  <si>
    <t>1006851</t>
  </si>
  <si>
    <t>CAMISA GOLA POLO CLARO VERMELHO - P</t>
  </si>
  <si>
    <t>1001289</t>
  </si>
  <si>
    <t>CANETA DETECTORA DE TENSÃO 90 - 1000V</t>
  </si>
  <si>
    <t>1001302</t>
  </si>
  <si>
    <t>CAPA P/ CHUVA FORRADA AMARELA</t>
  </si>
  <si>
    <t>1000496</t>
  </si>
  <si>
    <t>CAPACETE BRANCO</t>
  </si>
  <si>
    <t>1000146</t>
  </si>
  <si>
    <t>CARNEIRA P/CAPACETE</t>
  </si>
  <si>
    <t>1000204</t>
  </si>
  <si>
    <t>CINTO SEG. PQD C/3 PONTAS E PROT. LOMBAR-APASEG</t>
  </si>
  <si>
    <t>1000206</t>
  </si>
  <si>
    <t>COLETE REFLETIVO TP X NOTURNO</t>
  </si>
  <si>
    <t>1000208</t>
  </si>
  <si>
    <t>CONE SINALIZAÇÃO GRANDE</t>
  </si>
  <si>
    <t>1001851</t>
  </si>
  <si>
    <t>FITA CARTRACA LINHA DE VIDA</t>
  </si>
  <si>
    <t>1001855</t>
  </si>
  <si>
    <t>FITA DE ANCORAGEM PARA ESCADA C/ ABS</t>
  </si>
  <si>
    <t>1000277</t>
  </si>
  <si>
    <t>FITA ZEBRADA 160M</t>
  </si>
  <si>
    <t>48</t>
  </si>
  <si>
    <t>1006179</t>
  </si>
  <si>
    <t>FREIO ABS PARA LINHA DE VIDA</t>
  </si>
  <si>
    <t>1001926</t>
  </si>
  <si>
    <t>JAQUETA CLARO COM CAPUZ - EXG</t>
  </si>
  <si>
    <t>1001923</t>
  </si>
  <si>
    <t>JAQUETA CLARO COM CAPUZ - G</t>
  </si>
  <si>
    <t>1001924</t>
  </si>
  <si>
    <t>JAQUETA CLARO COM CAPUZ - GG</t>
  </si>
  <si>
    <t>1002021</t>
  </si>
  <si>
    <t>JAQUETA CLARO COM CAPUZ M</t>
  </si>
  <si>
    <t>1002267</t>
  </si>
  <si>
    <t>JAQUETA CLARO COM CAPUZ P</t>
  </si>
  <si>
    <t>1000305</t>
  </si>
  <si>
    <t>JUGULAR P/CAPACETE</t>
  </si>
  <si>
    <t>1000665</t>
  </si>
  <si>
    <t>LUVA DE MALHA PIGMENTADA</t>
  </si>
  <si>
    <t>1000327</t>
  </si>
  <si>
    <t>LUVA DE VAQUETA MISTA CANO CURTO</t>
  </si>
  <si>
    <t>1006150</t>
  </si>
  <si>
    <t>LUVA MULTITATO PU</t>
  </si>
  <si>
    <t>1001199</t>
  </si>
  <si>
    <t>LUVA VAQUETA MISA C/ LONGO</t>
  </si>
  <si>
    <t>1006840</t>
  </si>
  <si>
    <t>MASCARA RESPIRATÓRIA PFF1 S/ VÁLVULA</t>
  </si>
  <si>
    <t>1001852</t>
  </si>
  <si>
    <t>MOSQUETÃO CARABINEIRO ROSCA</t>
  </si>
  <si>
    <t>84</t>
  </si>
  <si>
    <t>1000544</t>
  </si>
  <si>
    <t>MOSQUETAO DE FERRO</t>
  </si>
  <si>
    <t>1001562</t>
  </si>
  <si>
    <t>NIVELADOR ESCADA  DE MADEIRA</t>
  </si>
  <si>
    <t>1000366</t>
  </si>
  <si>
    <t>OCULOS DE PROTEÇÃO - PRETO</t>
  </si>
  <si>
    <t>1000367</t>
  </si>
  <si>
    <t>ÓCULOS DE PROTEÇÃO INCOLOR</t>
  </si>
  <si>
    <t>1000583</t>
  </si>
  <si>
    <t>PROTETOR SOLAR</t>
  </si>
  <si>
    <t>57</t>
  </si>
  <si>
    <t>1000648</t>
  </si>
  <si>
    <t>TALABARTE (APA SEG)TIPO Y DE FITA C/ABS MOSQ. 55MM</t>
  </si>
  <si>
    <t>1000995</t>
  </si>
  <si>
    <t>TALABARTE DE POSICIONAMENTO REGULÁVEL-(APA SEG).</t>
  </si>
  <si>
    <t>1001853</t>
  </si>
  <si>
    <t>TRAVA QUEDAS MOD DOBRADIÇA CORDA 12M</t>
  </si>
  <si>
    <t>44</t>
  </si>
  <si>
    <t>Quantidade por kit</t>
  </si>
  <si>
    <t>Código</t>
  </si>
  <si>
    <t xml:space="preserve">Contratações </t>
  </si>
  <si>
    <t>Compra já realizada</t>
  </si>
  <si>
    <t>Comprar</t>
  </si>
  <si>
    <t>Estoque Minimo</t>
  </si>
  <si>
    <t>1002281</t>
  </si>
  <si>
    <t xml:space="preserve">SONDA PASSA FIO HILICOIDAL 20M </t>
  </si>
  <si>
    <t>114</t>
  </si>
  <si>
    <t>200</t>
  </si>
  <si>
    <t>190</t>
  </si>
  <si>
    <t>1000089</t>
  </si>
  <si>
    <t>BROCA WIDIA 6MM</t>
  </si>
  <si>
    <t>X</t>
  </si>
  <si>
    <t>CALÇA CLARO FFA CINZA - M</t>
  </si>
  <si>
    <t>1001916</t>
  </si>
  <si>
    <t>CALÇA CLARO FFA CINZA - G</t>
  </si>
  <si>
    <t>1001697</t>
  </si>
  <si>
    <t>CAMISA GOLA POLO CLARO VERMELHO - G</t>
  </si>
  <si>
    <t>1006853</t>
  </si>
  <si>
    <t>BOTA DE COURO SEM CADARÇO TAM. 39</t>
  </si>
  <si>
    <t>BOTA DE COURO SEM CADARÇO TAM. 40</t>
  </si>
  <si>
    <t>BOTA DE COURO SEM CADARÇO TAM. 41</t>
  </si>
  <si>
    <t>QUANTIDADE</t>
  </si>
  <si>
    <t>SITUAÇÃO</t>
  </si>
  <si>
    <t>NÃO COMPRAR</t>
  </si>
  <si>
    <t>COMPRAR</t>
  </si>
  <si>
    <t>152</t>
  </si>
  <si>
    <t>1000069</t>
  </si>
  <si>
    <t>1000070</t>
  </si>
  <si>
    <t>1000071</t>
  </si>
  <si>
    <t>saldo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</si>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</sst>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1" fontId="0" fillId="4" borderId="2" xfId="0" applyNumberFormat="1" applyFill="1" applyBorder="1" applyAlignment="1">
      <alignment horizontal="center"/>
    </xf>
    <xf numFmtId="49" fontId="2" fillId="2" borderId="9" xfId="0" applyNumberFormat="1" applyFont="1" applyFill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/>
    </xf>
    <xf numFmtId="1" fontId="0" fillId="4" borderId="8" xfId="0" applyNumberForma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/>
    </xf>
    <xf numFmtId="1" fontId="0" fillId="4" borderId="7" xfId="0" applyNumberFormat="1" applyFill="1" applyBorder="1" applyAlignment="1">
      <alignment horizontal="center"/>
    </xf>
    <xf numFmtId="49" fontId="0" fillId="4" borderId="1" xfId="0" applyNumberFormat="1" applyFill="1" applyBorder="1"/>
    <xf numFmtId="49" fontId="0" fillId="4" borderId="1" xfId="0" applyNumberForma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49" fontId="1" fillId="4" borderId="1" xfId="0" applyNumberFormat="1" applyFont="1" applyFill="1" applyBorder="1"/>
    <xf numFmtId="49" fontId="1" fillId="4" borderId="1" xfId="0" applyNumberFormat="1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 vertical="center" wrapText="1"/>
    </xf>
    <xf numFmtId="49" fontId="1" fillId="4" borderId="9" xfId="0" applyNumberFormat="1" applyFont="1" applyFill="1" applyBorder="1" applyAlignment="1">
      <alignment horizontal="center"/>
    </xf>
    <xf numFmtId="49" fontId="5" fillId="4" borderId="9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0" fillId="0" borderId="2" xfId="0" applyBorder="1" applyAlignment="1">
      <alignment horizontal="center"/>
    </xf>
    <xf numFmtId="49" fontId="0" fillId="4" borderId="9" xfId="0" applyNumberFormat="1" applyFill="1" applyBorder="1" applyAlignment="1">
      <alignment horizontal="center"/>
    </xf>
    <xf numFmtId="1" fontId="0" fillId="4" borderId="7" xfId="0" applyNumberFormat="1" applyFill="1" applyBorder="1" applyAlignment="1">
      <alignment horizontal="center" vertical="center" wrapText="1"/>
    </xf>
    <xf numFmtId="1" fontId="0" fillId="4" borderId="8" xfId="0" applyNumberForma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1" fontId="0" fillId="4" borderId="7" xfId="0" applyNumberFormat="1" applyFill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0CF5-EC08-47CD-B9F5-8C26BC224735}">
  <sheetPr filterMode="1"/>
  <dimension ref="A1:K125"/>
  <sheetViews>
    <sheetView tabSelected="1" zoomScale="110" zoomScaleNormal="110" workbookViewId="0">
      <selection activeCell="J3" sqref="J3:J122"/>
    </sheetView>
  </sheetViews>
  <sheetFormatPr defaultRowHeight="15" x14ac:dyDescent="0.25"/>
  <cols>
    <col min="1" max="1" width="22.85546875" style="1" bestFit="1" customWidth="1"/>
    <col min="2" max="2" width="10.140625" style="1" bestFit="1" customWidth="1"/>
    <col min="3" max="3" width="10.140625" style="1" hidden="1" customWidth="1"/>
    <col min="4" max="4" width="57" style="1" bestFit="1" customWidth="1"/>
    <col min="5" max="6" width="9.140625" style="6"/>
    <col min="7" max="7" width="14.140625" style="6" customWidth="1"/>
    <col min="8" max="9" width="9.140625" style="6"/>
    <col min="10" max="10" width="15.140625" style="6" customWidth="1"/>
    <col min="11" max="11" width="14.85546875" style="6" bestFit="1" customWidth="1"/>
    <col min="12" max="16384" width="9.140625" style="1"/>
  </cols>
  <sheetData>
    <row r="1" spans="1:11" s="4" customFormat="1" ht="45" x14ac:dyDescent="0.25">
      <c r="A1" s="3" t="s">
        <v>0</v>
      </c>
      <c r="B1" s="3" t="s">
        <v>293</v>
      </c>
      <c r="C1" s="3" t="s">
        <v>9</v>
      </c>
      <c r="D1" s="3" t="s">
        <v>1</v>
      </c>
      <c r="E1" s="3" t="s">
        <v>292</v>
      </c>
      <c r="F1" s="3" t="s">
        <v>2</v>
      </c>
      <c r="G1" s="3" t="s">
        <v>294</v>
      </c>
      <c r="H1" s="3" t="s">
        <v>297</v>
      </c>
      <c r="I1" s="8" t="s">
        <v>295</v>
      </c>
      <c r="J1" s="11" t="s">
        <v>315</v>
      </c>
      <c r="K1" s="11" t="s">
        <v>316</v>
      </c>
    </row>
    <row r="2" spans="1:11" hidden="1" x14ac:dyDescent="0.25">
      <c r="A2" s="2" t="s">
        <v>3</v>
      </c>
      <c r="B2" s="2" t="s">
        <v>4</v>
      </c>
      <c r="C2" s="2" t="s">
        <v>305</v>
      </c>
      <c r="D2" s="2" t="s">
        <v>5</v>
      </c>
      <c r="E2" s="5" t="s">
        <v>71</v>
      </c>
      <c r="F2" s="5" t="s">
        <v>6</v>
      </c>
      <c r="G2" s="5" t="s">
        <v>12</v>
      </c>
      <c r="H2" s="5" t="s">
        <v>20</v>
      </c>
      <c r="I2" s="5" t="s">
        <v>80</v>
      </c>
      <c r="J2" s="10">
        <f>G2+H2-F2-I2</f>
        <v>-2</v>
      </c>
      <c r="K2" s="12" t="s">
        <v>317</v>
      </c>
    </row>
    <row r="3" spans="1:11" x14ac:dyDescent="0.25">
      <c r="A3" s="2" t="s">
        <v>3</v>
      </c>
      <c r="B3" s="2" t="s">
        <v>10</v>
      </c>
      <c r="C3" s="2"/>
      <c r="D3" s="2" t="s">
        <v>11</v>
      </c>
      <c r="E3" s="5" t="s">
        <v>71</v>
      </c>
      <c r="F3" s="5" t="s">
        <v>12</v>
      </c>
      <c r="G3" s="5" t="s">
        <v>12</v>
      </c>
      <c r="H3" s="5" t="s">
        <v>20</v>
      </c>
      <c r="I3" s="9"/>
      <c r="J3" s="7">
        <f t="shared" ref="J3:J68" si="0">G3+H3-F3-I3</f>
        <v>6</v>
      </c>
      <c r="K3" s="12" t="s">
        <v>318</v>
      </c>
    </row>
    <row r="4" spans="1:11" x14ac:dyDescent="0.25">
      <c r="A4" s="2" t="s">
        <v>3</v>
      </c>
      <c r="B4" s="2" t="s">
        <v>14</v>
      </c>
      <c r="C4" s="2"/>
      <c r="D4" s="2" t="s">
        <v>15</v>
      </c>
      <c r="E4" s="5" t="s">
        <v>71</v>
      </c>
      <c r="F4" s="5" t="s">
        <v>16</v>
      </c>
      <c r="G4" s="5" t="s">
        <v>12</v>
      </c>
      <c r="H4" s="5" t="s">
        <v>20</v>
      </c>
      <c r="I4" s="9" t="s">
        <v>60</v>
      </c>
      <c r="J4" s="7">
        <f t="shared" si="0"/>
        <v>19</v>
      </c>
      <c r="K4" s="12" t="s">
        <v>318</v>
      </c>
    </row>
    <row r="5" spans="1:11" x14ac:dyDescent="0.25">
      <c r="A5" s="2" t="s">
        <v>3</v>
      </c>
      <c r="B5" s="2" t="s">
        <v>18</v>
      </c>
      <c r="C5" s="2"/>
      <c r="D5" s="2" t="s">
        <v>19</v>
      </c>
      <c r="E5" s="5" t="s">
        <v>71</v>
      </c>
      <c r="F5" s="5" t="s">
        <v>20</v>
      </c>
      <c r="G5" s="5" t="s">
        <v>12</v>
      </c>
      <c r="H5" s="5" t="s">
        <v>20</v>
      </c>
      <c r="I5" s="9" t="s">
        <v>6</v>
      </c>
      <c r="J5" s="7">
        <f t="shared" si="0"/>
        <v>20</v>
      </c>
      <c r="K5" s="12" t="s">
        <v>318</v>
      </c>
    </row>
    <row r="6" spans="1:11" x14ac:dyDescent="0.25">
      <c r="A6" s="2" t="s">
        <v>3</v>
      </c>
      <c r="B6" s="2" t="s">
        <v>21</v>
      </c>
      <c r="C6" s="2"/>
      <c r="D6" s="2" t="s">
        <v>22</v>
      </c>
      <c r="E6" s="5" t="s">
        <v>71</v>
      </c>
      <c r="F6" s="5" t="s">
        <v>6</v>
      </c>
      <c r="G6" s="5" t="s">
        <v>12</v>
      </c>
      <c r="H6" s="5" t="s">
        <v>20</v>
      </c>
      <c r="I6" s="9" t="s">
        <v>39</v>
      </c>
      <c r="J6" s="7">
        <f t="shared" si="0"/>
        <v>19</v>
      </c>
      <c r="K6" s="12" t="s">
        <v>318</v>
      </c>
    </row>
    <row r="7" spans="1:11" x14ac:dyDescent="0.25">
      <c r="A7" s="2" t="s">
        <v>3</v>
      </c>
      <c r="B7" s="2" t="s">
        <v>24</v>
      </c>
      <c r="C7" s="2"/>
      <c r="D7" s="2" t="s">
        <v>25</v>
      </c>
      <c r="E7" s="5" t="s">
        <v>71</v>
      </c>
      <c r="F7" s="5" t="s">
        <v>26</v>
      </c>
      <c r="G7" s="5" t="s">
        <v>12</v>
      </c>
      <c r="H7" s="5" t="s">
        <v>20</v>
      </c>
      <c r="I7" s="9" t="s">
        <v>41</v>
      </c>
      <c r="J7" s="7">
        <f t="shared" si="0"/>
        <v>20</v>
      </c>
      <c r="K7" s="12" t="s">
        <v>318</v>
      </c>
    </row>
    <row r="8" spans="1:11" hidden="1" x14ac:dyDescent="0.25">
      <c r="A8" s="2" t="s">
        <v>3</v>
      </c>
      <c r="B8" s="2" t="s">
        <v>27</v>
      </c>
      <c r="C8" s="2" t="s">
        <v>305</v>
      </c>
      <c r="D8" s="2" t="s">
        <v>28</v>
      </c>
      <c r="E8" s="5" t="s">
        <v>71</v>
      </c>
      <c r="F8" s="5" t="s">
        <v>29</v>
      </c>
      <c r="G8" s="5" t="s">
        <v>12</v>
      </c>
      <c r="H8" s="5" t="s">
        <v>20</v>
      </c>
      <c r="I8" s="5" t="s">
        <v>80</v>
      </c>
      <c r="J8" s="10">
        <f t="shared" si="0"/>
        <v>-15</v>
      </c>
      <c r="K8" s="12" t="s">
        <v>317</v>
      </c>
    </row>
    <row r="9" spans="1:11" x14ac:dyDescent="0.25">
      <c r="A9" s="2" t="s">
        <v>3</v>
      </c>
      <c r="B9" s="2" t="s">
        <v>31</v>
      </c>
      <c r="C9" s="2"/>
      <c r="D9" s="2" t="s">
        <v>32</v>
      </c>
      <c r="E9" s="5" t="s">
        <v>71</v>
      </c>
      <c r="F9" s="5" t="s">
        <v>33</v>
      </c>
      <c r="G9" s="5" t="s">
        <v>12</v>
      </c>
      <c r="H9" s="5" t="s">
        <v>20</v>
      </c>
      <c r="I9" s="9" t="s">
        <v>8</v>
      </c>
      <c r="J9" s="7">
        <f t="shared" si="0"/>
        <v>18</v>
      </c>
      <c r="K9" s="12" t="s">
        <v>318</v>
      </c>
    </row>
    <row r="10" spans="1:11" x14ac:dyDescent="0.25">
      <c r="A10" s="2" t="s">
        <v>3</v>
      </c>
      <c r="B10" s="2" t="s">
        <v>34</v>
      </c>
      <c r="C10" s="2"/>
      <c r="D10" s="2" t="s">
        <v>35</v>
      </c>
      <c r="E10" s="5" t="s">
        <v>71</v>
      </c>
      <c r="F10" s="5" t="s">
        <v>36</v>
      </c>
      <c r="G10" s="5" t="s">
        <v>12</v>
      </c>
      <c r="H10" s="5" t="s">
        <v>20</v>
      </c>
      <c r="I10" s="9"/>
      <c r="J10" s="7">
        <f t="shared" si="0"/>
        <v>10</v>
      </c>
      <c r="K10" s="12" t="s">
        <v>318</v>
      </c>
    </row>
    <row r="11" spans="1:11" x14ac:dyDescent="0.25">
      <c r="A11" s="2" t="s">
        <v>3</v>
      </c>
      <c r="B11" s="2" t="s">
        <v>37</v>
      </c>
      <c r="C11" s="2"/>
      <c r="D11" s="2" t="s">
        <v>38</v>
      </c>
      <c r="E11" s="5" t="s">
        <v>71</v>
      </c>
      <c r="F11" s="5" t="s">
        <v>39</v>
      </c>
      <c r="G11" s="5" t="s">
        <v>12</v>
      </c>
      <c r="H11" s="5" t="s">
        <v>20</v>
      </c>
      <c r="I11" s="9" t="s">
        <v>6</v>
      </c>
      <c r="J11" s="7">
        <f t="shared" si="0"/>
        <v>19</v>
      </c>
      <c r="K11" s="12" t="s">
        <v>318</v>
      </c>
    </row>
    <row r="12" spans="1:11" hidden="1" x14ac:dyDescent="0.25">
      <c r="A12" s="2" t="s">
        <v>3</v>
      </c>
      <c r="B12" s="2" t="s">
        <v>44</v>
      </c>
      <c r="C12" s="2"/>
      <c r="D12" s="2" t="s">
        <v>45</v>
      </c>
      <c r="E12" s="5" t="s">
        <v>71</v>
      </c>
      <c r="F12" s="5" t="s">
        <v>46</v>
      </c>
      <c r="G12" s="5" t="s">
        <v>12</v>
      </c>
      <c r="H12" s="5" t="s">
        <v>20</v>
      </c>
      <c r="I12" s="5" t="s">
        <v>115</v>
      </c>
      <c r="J12" s="10">
        <f t="shared" si="0"/>
        <v>-6</v>
      </c>
      <c r="K12" s="12" t="s">
        <v>317</v>
      </c>
    </row>
    <row r="13" spans="1:11" x14ac:dyDescent="0.25">
      <c r="A13" s="2" t="s">
        <v>3</v>
      </c>
      <c r="B13" s="2" t="s">
        <v>47</v>
      </c>
      <c r="C13" s="2" t="s">
        <v>305</v>
      </c>
      <c r="D13" s="2" t="s">
        <v>48</v>
      </c>
      <c r="E13" s="5" t="s">
        <v>71</v>
      </c>
      <c r="F13" s="5" t="s">
        <v>41</v>
      </c>
      <c r="G13" s="5" t="s">
        <v>12</v>
      </c>
      <c r="H13" s="5" t="s">
        <v>20</v>
      </c>
      <c r="I13" s="9" t="s">
        <v>80</v>
      </c>
      <c r="J13" s="7">
        <f t="shared" si="0"/>
        <v>12</v>
      </c>
      <c r="K13" s="12" t="s">
        <v>318</v>
      </c>
    </row>
    <row r="14" spans="1:11" hidden="1" x14ac:dyDescent="0.25">
      <c r="A14" s="2" t="s">
        <v>3</v>
      </c>
      <c r="B14" s="2" t="s">
        <v>49</v>
      </c>
      <c r="C14" s="2"/>
      <c r="D14" s="2" t="s">
        <v>50</v>
      </c>
      <c r="E14" s="5" t="s">
        <v>71</v>
      </c>
      <c r="F14" s="5" t="s">
        <v>51</v>
      </c>
      <c r="G14" s="5" t="s">
        <v>12</v>
      </c>
      <c r="H14" s="5" t="s">
        <v>20</v>
      </c>
      <c r="I14" s="5"/>
      <c r="J14" s="10">
        <f t="shared" si="0"/>
        <v>-15</v>
      </c>
      <c r="K14" s="12" t="s">
        <v>317</v>
      </c>
    </row>
    <row r="15" spans="1:11" x14ac:dyDescent="0.25">
      <c r="A15" s="2" t="s">
        <v>3</v>
      </c>
      <c r="B15" s="2" t="s">
        <v>303</v>
      </c>
      <c r="C15" s="2"/>
      <c r="D15" s="2" t="s">
        <v>304</v>
      </c>
      <c r="E15" s="5" t="s">
        <v>71</v>
      </c>
      <c r="F15" s="5" t="s">
        <v>7</v>
      </c>
      <c r="G15" s="5" t="s">
        <v>12</v>
      </c>
      <c r="H15" s="5" t="s">
        <v>20</v>
      </c>
      <c r="I15" s="9" t="s">
        <v>80</v>
      </c>
      <c r="J15" s="7">
        <f t="shared" si="0"/>
        <v>16</v>
      </c>
      <c r="K15" s="12" t="s">
        <v>318</v>
      </c>
    </row>
    <row r="16" spans="1:11" hidden="1" x14ac:dyDescent="0.25">
      <c r="A16" s="2" t="s">
        <v>3</v>
      </c>
      <c r="B16" s="2" t="s">
        <v>52</v>
      </c>
      <c r="C16" s="2"/>
      <c r="D16" s="2" t="s">
        <v>53</v>
      </c>
      <c r="E16" s="5" t="s">
        <v>71</v>
      </c>
      <c r="F16" s="5" t="s">
        <v>54</v>
      </c>
      <c r="G16" s="5" t="s">
        <v>12</v>
      </c>
      <c r="H16" s="5" t="s">
        <v>20</v>
      </c>
      <c r="I16" s="5"/>
      <c r="J16" s="10">
        <f t="shared" si="0"/>
        <v>-101</v>
      </c>
      <c r="K16" s="12" t="s">
        <v>317</v>
      </c>
    </row>
    <row r="17" spans="1:11" x14ac:dyDescent="0.25">
      <c r="A17" s="2" t="s">
        <v>3</v>
      </c>
      <c r="B17" s="2" t="s">
        <v>55</v>
      </c>
      <c r="C17" s="2"/>
      <c r="D17" s="2" t="s">
        <v>56</v>
      </c>
      <c r="E17" s="5" t="s">
        <v>71</v>
      </c>
      <c r="F17" s="5" t="s">
        <v>57</v>
      </c>
      <c r="G17" s="5" t="s">
        <v>12</v>
      </c>
      <c r="H17" s="5" t="s">
        <v>20</v>
      </c>
      <c r="I17" s="9"/>
      <c r="J17" s="7">
        <f t="shared" si="0"/>
        <v>5</v>
      </c>
      <c r="K17" s="12" t="s">
        <v>318</v>
      </c>
    </row>
    <row r="18" spans="1:11" hidden="1" x14ac:dyDescent="0.25">
      <c r="A18" s="2" t="s">
        <v>3</v>
      </c>
      <c r="B18" s="2" t="s">
        <v>58</v>
      </c>
      <c r="C18" s="2"/>
      <c r="D18" s="2" t="s">
        <v>59</v>
      </c>
      <c r="E18" s="5" t="s">
        <v>71</v>
      </c>
      <c r="F18" s="5" t="s">
        <v>46</v>
      </c>
      <c r="G18" s="5" t="s">
        <v>12</v>
      </c>
      <c r="H18" s="5" t="s">
        <v>20</v>
      </c>
      <c r="I18" s="5"/>
      <c r="J18" s="10">
        <f t="shared" si="0"/>
        <v>-1</v>
      </c>
      <c r="K18" s="12" t="s">
        <v>317</v>
      </c>
    </row>
    <row r="19" spans="1:11" hidden="1" x14ac:dyDescent="0.25">
      <c r="A19" s="2" t="s">
        <v>3</v>
      </c>
      <c r="B19" s="2" t="s">
        <v>61</v>
      </c>
      <c r="C19" s="2"/>
      <c r="D19" s="2" t="s">
        <v>62</v>
      </c>
      <c r="E19" s="5" t="s">
        <v>71</v>
      </c>
      <c r="F19" s="5" t="s">
        <v>63</v>
      </c>
      <c r="G19" s="5" t="s">
        <v>12</v>
      </c>
      <c r="H19" s="5" t="s">
        <v>20</v>
      </c>
      <c r="I19" s="5"/>
      <c r="J19" s="7">
        <f t="shared" si="0"/>
        <v>-8</v>
      </c>
      <c r="K19" s="12" t="s">
        <v>317</v>
      </c>
    </row>
    <row r="20" spans="1:11" x14ac:dyDescent="0.25">
      <c r="A20" s="2" t="s">
        <v>3</v>
      </c>
      <c r="B20" s="2" t="s">
        <v>65</v>
      </c>
      <c r="C20" s="2"/>
      <c r="D20" s="2" t="s">
        <v>66</v>
      </c>
      <c r="E20" s="5" t="s">
        <v>71</v>
      </c>
      <c r="F20" s="5" t="s">
        <v>67</v>
      </c>
      <c r="G20" s="5" t="s">
        <v>12</v>
      </c>
      <c r="H20" s="5" t="s">
        <v>20</v>
      </c>
      <c r="I20" s="9" t="s">
        <v>115</v>
      </c>
      <c r="J20" s="7">
        <f t="shared" si="0"/>
        <v>14</v>
      </c>
      <c r="K20" s="12" t="s">
        <v>318</v>
      </c>
    </row>
    <row r="21" spans="1:11" x14ac:dyDescent="0.25">
      <c r="A21" s="2" t="s">
        <v>3</v>
      </c>
      <c r="B21" s="2" t="s">
        <v>68</v>
      </c>
      <c r="C21" s="2"/>
      <c r="D21" s="2" t="s">
        <v>69</v>
      </c>
      <c r="E21" s="5" t="s">
        <v>71</v>
      </c>
      <c r="F21" s="5" t="s">
        <v>70</v>
      </c>
      <c r="G21" s="5" t="s">
        <v>12</v>
      </c>
      <c r="H21" s="5" t="s">
        <v>20</v>
      </c>
      <c r="I21" s="9"/>
      <c r="J21" s="7">
        <f t="shared" si="0"/>
        <v>8</v>
      </c>
      <c r="K21" s="12" t="s">
        <v>318</v>
      </c>
    </row>
    <row r="22" spans="1:11" hidden="1" x14ac:dyDescent="0.25">
      <c r="A22" s="2" t="s">
        <v>3</v>
      </c>
      <c r="B22" s="2" t="s">
        <v>72</v>
      </c>
      <c r="C22" s="2"/>
      <c r="D22" s="2" t="s">
        <v>73</v>
      </c>
      <c r="E22" s="5" t="s">
        <v>71</v>
      </c>
      <c r="F22" s="5" t="s">
        <v>74</v>
      </c>
      <c r="G22" s="5" t="s">
        <v>12</v>
      </c>
      <c r="H22" s="5" t="s">
        <v>20</v>
      </c>
      <c r="I22" s="5"/>
      <c r="J22" s="10">
        <f t="shared" si="0"/>
        <v>-68</v>
      </c>
      <c r="K22" s="12" t="s">
        <v>317</v>
      </c>
    </row>
    <row r="23" spans="1:11" x14ac:dyDescent="0.25">
      <c r="A23" s="14" t="s">
        <v>3</v>
      </c>
      <c r="B23" s="14" t="s">
        <v>76</v>
      </c>
      <c r="C23" s="2"/>
      <c r="D23" s="14" t="s">
        <v>77</v>
      </c>
      <c r="E23" s="15" t="s">
        <v>71</v>
      </c>
      <c r="F23" s="15" t="s">
        <v>120</v>
      </c>
      <c r="G23" s="15" t="s">
        <v>12</v>
      </c>
      <c r="H23" s="15" t="s">
        <v>20</v>
      </c>
      <c r="I23" s="25"/>
      <c r="J23" s="7">
        <f>G23+H23-F23-I23</f>
        <v>33</v>
      </c>
      <c r="K23" s="16" t="s">
        <v>318</v>
      </c>
    </row>
    <row r="24" spans="1:11" x14ac:dyDescent="0.25">
      <c r="A24" s="2" t="s">
        <v>3</v>
      </c>
      <c r="B24" s="2" t="s">
        <v>78</v>
      </c>
      <c r="C24" s="2" t="s">
        <v>305</v>
      </c>
      <c r="D24" s="2" t="s">
        <v>79</v>
      </c>
      <c r="E24" s="5" t="s">
        <v>71</v>
      </c>
      <c r="F24" s="5" t="s">
        <v>80</v>
      </c>
      <c r="G24" s="5" t="s">
        <v>12</v>
      </c>
      <c r="H24" s="5" t="s">
        <v>20</v>
      </c>
      <c r="I24" s="9"/>
      <c r="J24" s="7">
        <f t="shared" si="0"/>
        <v>16</v>
      </c>
      <c r="K24" s="12" t="s">
        <v>318</v>
      </c>
    </row>
    <row r="25" spans="1:11" x14ac:dyDescent="0.25">
      <c r="A25" s="2" t="s">
        <v>3</v>
      </c>
      <c r="B25" s="2" t="s">
        <v>81</v>
      </c>
      <c r="C25" s="2" t="s">
        <v>305</v>
      </c>
      <c r="D25" s="2" t="s">
        <v>82</v>
      </c>
      <c r="E25" s="5" t="s">
        <v>71</v>
      </c>
      <c r="F25" s="5" t="s">
        <v>71</v>
      </c>
      <c r="G25" s="5" t="s">
        <v>12</v>
      </c>
      <c r="H25" s="5" t="s">
        <v>20</v>
      </c>
      <c r="I25" s="9" t="s">
        <v>80</v>
      </c>
      <c r="J25" s="7">
        <f t="shared" si="0"/>
        <v>15</v>
      </c>
      <c r="K25" s="12" t="s">
        <v>318</v>
      </c>
    </row>
    <row r="26" spans="1:11" x14ac:dyDescent="0.25">
      <c r="A26" s="2" t="s">
        <v>3</v>
      </c>
      <c r="B26" s="2" t="s">
        <v>84</v>
      </c>
      <c r="C26" s="2"/>
      <c r="D26" s="2" t="s">
        <v>85</v>
      </c>
      <c r="E26" s="5" t="s">
        <v>71</v>
      </c>
      <c r="F26" s="5" t="s">
        <v>86</v>
      </c>
      <c r="G26" s="5" t="s">
        <v>12</v>
      </c>
      <c r="H26" s="5" t="s">
        <v>20</v>
      </c>
      <c r="I26" s="9"/>
      <c r="J26" s="7">
        <f t="shared" si="0"/>
        <v>12</v>
      </c>
      <c r="K26" s="12" t="s">
        <v>318</v>
      </c>
    </row>
    <row r="27" spans="1:11" x14ac:dyDescent="0.25">
      <c r="A27" s="2" t="s">
        <v>3</v>
      </c>
      <c r="B27" s="2" t="s">
        <v>87</v>
      </c>
      <c r="C27" s="2"/>
      <c r="D27" s="2" t="s">
        <v>88</v>
      </c>
      <c r="E27" s="5" t="s">
        <v>71</v>
      </c>
      <c r="F27" s="5" t="s">
        <v>36</v>
      </c>
      <c r="G27" s="5" t="s">
        <v>12</v>
      </c>
      <c r="H27" s="5" t="s">
        <v>20</v>
      </c>
      <c r="I27" s="9"/>
      <c r="J27" s="7">
        <f t="shared" si="0"/>
        <v>10</v>
      </c>
      <c r="K27" s="12" t="s">
        <v>318</v>
      </c>
    </row>
    <row r="28" spans="1:11" x14ac:dyDescent="0.25">
      <c r="A28" s="2" t="s">
        <v>3</v>
      </c>
      <c r="B28" s="2" t="s">
        <v>90</v>
      </c>
      <c r="C28" s="2"/>
      <c r="D28" s="2" t="s">
        <v>91</v>
      </c>
      <c r="E28" s="5" t="s">
        <v>71</v>
      </c>
      <c r="F28" s="5" t="s">
        <v>92</v>
      </c>
      <c r="G28" s="5" t="s">
        <v>12</v>
      </c>
      <c r="H28" s="5" t="s">
        <v>20</v>
      </c>
      <c r="I28" s="9" t="s">
        <v>115</v>
      </c>
      <c r="J28" s="7">
        <f t="shared" si="0"/>
        <v>13</v>
      </c>
      <c r="K28" s="12" t="s">
        <v>318</v>
      </c>
    </row>
    <row r="29" spans="1:11" x14ac:dyDescent="0.25">
      <c r="A29" s="2" t="s">
        <v>3</v>
      </c>
      <c r="B29" s="2" t="s">
        <v>93</v>
      </c>
      <c r="C29" s="2"/>
      <c r="D29" s="2" t="s">
        <v>94</v>
      </c>
      <c r="E29" s="5" t="s">
        <v>71</v>
      </c>
      <c r="F29" s="5" t="s">
        <v>80</v>
      </c>
      <c r="G29" s="5" t="s">
        <v>12</v>
      </c>
      <c r="H29" s="5" t="s">
        <v>20</v>
      </c>
      <c r="I29" s="9"/>
      <c r="J29" s="7">
        <f t="shared" si="0"/>
        <v>16</v>
      </c>
      <c r="K29" s="12" t="s">
        <v>318</v>
      </c>
    </row>
    <row r="30" spans="1:11" x14ac:dyDescent="0.25">
      <c r="A30" s="2" t="s">
        <v>3</v>
      </c>
      <c r="B30" s="2" t="s">
        <v>95</v>
      </c>
      <c r="C30" s="2"/>
      <c r="D30" s="2" t="s">
        <v>96</v>
      </c>
      <c r="E30" s="5" t="s">
        <v>71</v>
      </c>
      <c r="F30" s="5" t="s">
        <v>97</v>
      </c>
      <c r="G30" s="5" t="s">
        <v>12</v>
      </c>
      <c r="H30" s="5" t="s">
        <v>20</v>
      </c>
      <c r="I30" s="9"/>
      <c r="J30" s="7">
        <f t="shared" si="0"/>
        <v>3</v>
      </c>
      <c r="K30" s="12" t="s">
        <v>318</v>
      </c>
    </row>
    <row r="31" spans="1:11" x14ac:dyDescent="0.25">
      <c r="A31" s="2" t="s">
        <v>3</v>
      </c>
      <c r="B31" s="2" t="s">
        <v>98</v>
      </c>
      <c r="C31" s="2"/>
      <c r="D31" s="2" t="s">
        <v>99</v>
      </c>
      <c r="E31" s="5" t="s">
        <v>71</v>
      </c>
      <c r="F31" s="5" t="s">
        <v>86</v>
      </c>
      <c r="G31" s="5" t="s">
        <v>12</v>
      </c>
      <c r="H31" s="5" t="s">
        <v>20</v>
      </c>
      <c r="I31" s="9" t="s">
        <v>115</v>
      </c>
      <c r="J31" s="7">
        <f t="shared" si="0"/>
        <v>7</v>
      </c>
      <c r="K31" s="12" t="s">
        <v>318</v>
      </c>
    </row>
    <row r="32" spans="1:11" x14ac:dyDescent="0.25">
      <c r="A32" s="2" t="s">
        <v>3</v>
      </c>
      <c r="B32" s="2" t="s">
        <v>100</v>
      </c>
      <c r="C32" s="2"/>
      <c r="D32" s="2" t="s">
        <v>101</v>
      </c>
      <c r="E32" s="5" t="s">
        <v>71</v>
      </c>
      <c r="F32" s="5" t="s">
        <v>102</v>
      </c>
      <c r="G32" s="5" t="s">
        <v>12</v>
      </c>
      <c r="H32" s="5" t="s">
        <v>20</v>
      </c>
      <c r="I32" s="9"/>
      <c r="J32" s="7">
        <f t="shared" si="0"/>
        <v>15</v>
      </c>
      <c r="K32" s="12" t="s">
        <v>318</v>
      </c>
    </row>
    <row r="33" spans="1:11" x14ac:dyDescent="0.25">
      <c r="A33" s="2" t="s">
        <v>3</v>
      </c>
      <c r="B33" s="2" t="s">
        <v>103</v>
      </c>
      <c r="C33" s="2"/>
      <c r="D33" s="2" t="s">
        <v>104</v>
      </c>
      <c r="E33" s="5" t="s">
        <v>71</v>
      </c>
      <c r="F33" s="5" t="s">
        <v>80</v>
      </c>
      <c r="G33" s="5" t="s">
        <v>12</v>
      </c>
      <c r="H33" s="5" t="s">
        <v>20</v>
      </c>
      <c r="I33" s="9" t="s">
        <v>115</v>
      </c>
      <c r="J33" s="7">
        <f t="shared" si="0"/>
        <v>11</v>
      </c>
      <c r="K33" s="12" t="s">
        <v>318</v>
      </c>
    </row>
    <row r="34" spans="1:11" x14ac:dyDescent="0.25">
      <c r="A34" s="2" t="s">
        <v>3</v>
      </c>
      <c r="B34" s="2" t="s">
        <v>105</v>
      </c>
      <c r="C34" s="2"/>
      <c r="D34" s="2" t="s">
        <v>106</v>
      </c>
      <c r="E34" s="5" t="s">
        <v>71</v>
      </c>
      <c r="F34" s="5" t="s">
        <v>80</v>
      </c>
      <c r="G34" s="5" t="s">
        <v>12</v>
      </c>
      <c r="H34" s="5" t="s">
        <v>20</v>
      </c>
      <c r="I34" s="9" t="s">
        <v>115</v>
      </c>
      <c r="J34" s="7">
        <f t="shared" si="0"/>
        <v>11</v>
      </c>
      <c r="K34" s="12" t="s">
        <v>318</v>
      </c>
    </row>
    <row r="35" spans="1:11" x14ac:dyDescent="0.25">
      <c r="A35" s="2" t="s">
        <v>3</v>
      </c>
      <c r="B35" s="2" t="s">
        <v>107</v>
      </c>
      <c r="C35" s="2"/>
      <c r="D35" s="2" t="s">
        <v>108</v>
      </c>
      <c r="E35" s="5" t="s">
        <v>71</v>
      </c>
      <c r="F35" s="5" t="s">
        <v>80</v>
      </c>
      <c r="G35" s="5" t="s">
        <v>12</v>
      </c>
      <c r="H35" s="5" t="s">
        <v>20</v>
      </c>
      <c r="I35" s="9" t="s">
        <v>115</v>
      </c>
      <c r="J35" s="7">
        <f t="shared" si="0"/>
        <v>11</v>
      </c>
      <c r="K35" s="12" t="s">
        <v>318</v>
      </c>
    </row>
    <row r="36" spans="1:11" x14ac:dyDescent="0.25">
      <c r="A36" s="2" t="s">
        <v>3</v>
      </c>
      <c r="B36" s="2" t="s">
        <v>109</v>
      </c>
      <c r="C36" s="2"/>
      <c r="D36" s="2" t="s">
        <v>110</v>
      </c>
      <c r="E36" s="5" t="s">
        <v>71</v>
      </c>
      <c r="F36" s="5" t="s">
        <v>29</v>
      </c>
      <c r="G36" s="5" t="s">
        <v>12</v>
      </c>
      <c r="H36" s="5" t="s">
        <v>20</v>
      </c>
      <c r="I36" s="9" t="s">
        <v>115</v>
      </c>
      <c r="J36" s="7">
        <f t="shared" si="0"/>
        <v>8</v>
      </c>
      <c r="K36" s="12" t="s">
        <v>318</v>
      </c>
    </row>
    <row r="37" spans="1:11" x14ac:dyDescent="0.25">
      <c r="A37" s="2" t="s">
        <v>3</v>
      </c>
      <c r="B37" s="2" t="s">
        <v>111</v>
      </c>
      <c r="C37" s="2" t="s">
        <v>305</v>
      </c>
      <c r="D37" s="2" t="s">
        <v>112</v>
      </c>
      <c r="E37" s="5" t="s">
        <v>71</v>
      </c>
      <c r="F37" s="5" t="s">
        <v>71</v>
      </c>
      <c r="G37" s="5" t="s">
        <v>12</v>
      </c>
      <c r="H37" s="5" t="s">
        <v>20</v>
      </c>
      <c r="I37" s="9" t="s">
        <v>80</v>
      </c>
      <c r="J37" s="7">
        <f t="shared" si="0"/>
        <v>15</v>
      </c>
      <c r="K37" s="12" t="s">
        <v>318</v>
      </c>
    </row>
    <row r="38" spans="1:11" x14ac:dyDescent="0.25">
      <c r="A38" s="2" t="s">
        <v>3</v>
      </c>
      <c r="B38" s="2" t="s">
        <v>113</v>
      </c>
      <c r="C38" s="2"/>
      <c r="D38" s="2" t="s">
        <v>114</v>
      </c>
      <c r="E38" s="5" t="s">
        <v>71</v>
      </c>
      <c r="F38" s="5" t="s">
        <v>115</v>
      </c>
      <c r="G38" s="5" t="s">
        <v>12</v>
      </c>
      <c r="H38" s="5" t="s">
        <v>20</v>
      </c>
      <c r="I38" s="9" t="s">
        <v>118</v>
      </c>
      <c r="J38" s="7">
        <f t="shared" si="0"/>
        <v>22</v>
      </c>
      <c r="K38" s="12" t="s">
        <v>318</v>
      </c>
    </row>
    <row r="39" spans="1:11" hidden="1" x14ac:dyDescent="0.25">
      <c r="A39" s="2" t="s">
        <v>3</v>
      </c>
      <c r="B39" s="2" t="s">
        <v>116</v>
      </c>
      <c r="C39" s="2" t="s">
        <v>305</v>
      </c>
      <c r="D39" s="2" t="s">
        <v>117</v>
      </c>
      <c r="E39" s="5" t="s">
        <v>71</v>
      </c>
      <c r="F39" s="5" t="s">
        <v>86</v>
      </c>
      <c r="G39" s="5" t="s">
        <v>12</v>
      </c>
      <c r="H39" s="5" t="s">
        <v>20</v>
      </c>
      <c r="I39" s="5" t="s">
        <v>80</v>
      </c>
      <c r="J39" s="10">
        <f t="shared" si="0"/>
        <v>-16</v>
      </c>
      <c r="K39" s="12" t="s">
        <v>317</v>
      </c>
    </row>
    <row r="40" spans="1:11" x14ac:dyDescent="0.25">
      <c r="A40" s="2" t="s">
        <v>3</v>
      </c>
      <c r="B40" s="2" t="s">
        <v>124</v>
      </c>
      <c r="C40" s="2"/>
      <c r="D40" s="2" t="s">
        <v>125</v>
      </c>
      <c r="E40" s="5" t="s">
        <v>71</v>
      </c>
      <c r="F40" s="5" t="s">
        <v>13</v>
      </c>
      <c r="G40" s="5" t="s">
        <v>12</v>
      </c>
      <c r="H40" s="5" t="s">
        <v>20</v>
      </c>
      <c r="I40" s="9" t="s">
        <v>20</v>
      </c>
      <c r="J40" s="7">
        <f t="shared" si="0"/>
        <v>17</v>
      </c>
      <c r="K40" s="12" t="s">
        <v>318</v>
      </c>
    </row>
    <row r="41" spans="1:11" x14ac:dyDescent="0.25">
      <c r="A41" s="2" t="s">
        <v>3</v>
      </c>
      <c r="B41" s="2" t="s">
        <v>126</v>
      </c>
      <c r="C41" s="2"/>
      <c r="D41" s="2" t="s">
        <v>127</v>
      </c>
      <c r="E41" s="28" t="s">
        <v>71</v>
      </c>
      <c r="F41" s="30" t="s">
        <v>92</v>
      </c>
      <c r="G41" s="30" t="s">
        <v>12</v>
      </c>
      <c r="H41" s="30" t="s">
        <v>20</v>
      </c>
      <c r="I41" s="36" t="s">
        <v>89</v>
      </c>
      <c r="J41" s="38">
        <f>G41+H41-F41-I41</f>
        <v>8</v>
      </c>
      <c r="K41" s="12" t="s">
        <v>318</v>
      </c>
    </row>
    <row r="42" spans="1:11" x14ac:dyDescent="0.25">
      <c r="A42" s="2" t="s">
        <v>3</v>
      </c>
      <c r="B42" s="2" t="s">
        <v>128</v>
      </c>
      <c r="C42" s="2"/>
      <c r="D42" s="2" t="s">
        <v>129</v>
      </c>
      <c r="E42" s="29"/>
      <c r="F42" s="31"/>
      <c r="G42" s="31"/>
      <c r="H42" s="31"/>
      <c r="I42" s="37"/>
      <c r="J42" s="38"/>
      <c r="K42" s="12" t="s">
        <v>318</v>
      </c>
    </row>
    <row r="43" spans="1:11" x14ac:dyDescent="0.25">
      <c r="A43" s="2" t="s">
        <v>3</v>
      </c>
      <c r="B43" s="2" t="s">
        <v>131</v>
      </c>
      <c r="C43" s="2"/>
      <c r="D43" s="2" t="s">
        <v>132</v>
      </c>
      <c r="E43" s="5" t="s">
        <v>71</v>
      </c>
      <c r="F43" s="5" t="s">
        <v>43</v>
      </c>
      <c r="G43" s="5" t="s">
        <v>12</v>
      </c>
      <c r="H43" s="5" t="s">
        <v>20</v>
      </c>
      <c r="I43" s="5" t="s">
        <v>115</v>
      </c>
      <c r="J43" s="10">
        <f t="shared" si="0"/>
        <v>20</v>
      </c>
      <c r="K43" s="12" t="s">
        <v>318</v>
      </c>
    </row>
    <row r="44" spans="1:11" x14ac:dyDescent="0.25">
      <c r="A44" s="2" t="s">
        <v>3</v>
      </c>
      <c r="B44" s="2" t="s">
        <v>133</v>
      </c>
      <c r="C44" s="2"/>
      <c r="D44" s="2" t="s">
        <v>134</v>
      </c>
      <c r="E44" s="39" t="s">
        <v>71</v>
      </c>
      <c r="F44" s="39" t="s">
        <v>40</v>
      </c>
      <c r="G44" s="39" t="s">
        <v>12</v>
      </c>
      <c r="H44" s="39" t="s">
        <v>20</v>
      </c>
      <c r="I44" s="41" t="s">
        <v>75</v>
      </c>
      <c r="J44" s="26">
        <f>G44+H44-F44-I44</f>
        <v>18</v>
      </c>
      <c r="K44" s="12" t="s">
        <v>318</v>
      </c>
    </row>
    <row r="45" spans="1:11" x14ac:dyDescent="0.25">
      <c r="A45" s="2" t="s">
        <v>3</v>
      </c>
      <c r="B45" s="2" t="s">
        <v>135</v>
      </c>
      <c r="C45" s="2"/>
      <c r="D45" s="2" t="s">
        <v>136</v>
      </c>
      <c r="E45" s="40"/>
      <c r="F45" s="40"/>
      <c r="G45" s="40"/>
      <c r="H45" s="40"/>
      <c r="I45" s="42"/>
      <c r="J45" s="27"/>
      <c r="K45" s="12" t="s">
        <v>318</v>
      </c>
    </row>
    <row r="46" spans="1:11" hidden="1" x14ac:dyDescent="0.25">
      <c r="A46" s="2" t="s">
        <v>3</v>
      </c>
      <c r="B46" s="2" t="s">
        <v>137</v>
      </c>
      <c r="C46" s="2"/>
      <c r="D46" s="2" t="s">
        <v>138</v>
      </c>
      <c r="E46" s="5" t="s">
        <v>71</v>
      </c>
      <c r="F46" s="5" t="s">
        <v>122</v>
      </c>
      <c r="G46" s="5" t="s">
        <v>12</v>
      </c>
      <c r="H46" s="5" t="s">
        <v>20</v>
      </c>
      <c r="I46" s="5"/>
      <c r="J46" s="7">
        <f t="shared" si="0"/>
        <v>-5</v>
      </c>
      <c r="K46" s="12" t="s">
        <v>317</v>
      </c>
    </row>
    <row r="47" spans="1:11" x14ac:dyDescent="0.25">
      <c r="A47" s="2" t="s">
        <v>3</v>
      </c>
      <c r="B47" s="2" t="s">
        <v>140</v>
      </c>
      <c r="C47" s="2"/>
      <c r="D47" s="2" t="s">
        <v>141</v>
      </c>
      <c r="E47" s="30" t="s">
        <v>71</v>
      </c>
      <c r="F47" s="30" t="s">
        <v>40</v>
      </c>
      <c r="G47" s="30" t="s">
        <v>12</v>
      </c>
      <c r="H47" s="30" t="s">
        <v>20</v>
      </c>
      <c r="I47" s="32" t="s">
        <v>16</v>
      </c>
      <c r="J47" s="34">
        <f>G47+H47-F47-I47</f>
        <v>9</v>
      </c>
      <c r="K47" s="12" t="s">
        <v>318</v>
      </c>
    </row>
    <row r="48" spans="1:11" x14ac:dyDescent="0.25">
      <c r="A48" s="2" t="s">
        <v>3</v>
      </c>
      <c r="B48" s="2" t="s">
        <v>142</v>
      </c>
      <c r="C48" s="2"/>
      <c r="D48" s="2" t="s">
        <v>143</v>
      </c>
      <c r="E48" s="31"/>
      <c r="F48" s="31"/>
      <c r="G48" s="31"/>
      <c r="H48" s="31"/>
      <c r="I48" s="33"/>
      <c r="J48" s="35"/>
      <c r="K48" s="12" t="s">
        <v>318</v>
      </c>
    </row>
    <row r="49" spans="1:11" hidden="1" x14ac:dyDescent="0.25">
      <c r="A49" s="2" t="s">
        <v>3</v>
      </c>
      <c r="B49" s="2" t="s">
        <v>144</v>
      </c>
      <c r="C49" s="2" t="s">
        <v>305</v>
      </c>
      <c r="D49" s="2" t="s">
        <v>145</v>
      </c>
      <c r="E49" s="5" t="s">
        <v>71</v>
      </c>
      <c r="F49" s="5" t="s">
        <v>102</v>
      </c>
      <c r="G49" s="5" t="s">
        <v>12</v>
      </c>
      <c r="H49" s="5" t="s">
        <v>20</v>
      </c>
      <c r="I49" s="5" t="s">
        <v>80</v>
      </c>
      <c r="J49" s="7">
        <f t="shared" si="0"/>
        <v>-13</v>
      </c>
      <c r="K49" s="12" t="s">
        <v>317</v>
      </c>
    </row>
    <row r="50" spans="1:11" x14ac:dyDescent="0.25">
      <c r="A50" s="2" t="s">
        <v>3</v>
      </c>
      <c r="B50" s="2" t="s">
        <v>146</v>
      </c>
      <c r="C50" s="2"/>
      <c r="D50" s="2" t="s">
        <v>147</v>
      </c>
      <c r="E50" s="5" t="s">
        <v>71</v>
      </c>
      <c r="F50" s="5" t="s">
        <v>41</v>
      </c>
      <c r="G50" s="5" t="s">
        <v>12</v>
      </c>
      <c r="H50" s="5" t="s">
        <v>20</v>
      </c>
      <c r="I50" s="5" t="s">
        <v>121</v>
      </c>
      <c r="J50" s="7">
        <f t="shared" si="0"/>
        <v>24</v>
      </c>
      <c r="K50" s="12" t="s">
        <v>318</v>
      </c>
    </row>
    <row r="51" spans="1:11" x14ac:dyDescent="0.25">
      <c r="A51" s="2" t="s">
        <v>3</v>
      </c>
      <c r="B51" s="2" t="s">
        <v>148</v>
      </c>
      <c r="C51" s="2"/>
      <c r="D51" s="2" t="s">
        <v>149</v>
      </c>
      <c r="E51" s="5" t="s">
        <v>71</v>
      </c>
      <c r="F51" s="5" t="s">
        <v>130</v>
      </c>
      <c r="G51" s="5" t="s">
        <v>12</v>
      </c>
      <c r="H51" s="5" t="s">
        <v>20</v>
      </c>
      <c r="I51" s="5"/>
      <c r="J51" s="7">
        <f t="shared" si="0"/>
        <v>30</v>
      </c>
      <c r="K51" s="12" t="s">
        <v>318</v>
      </c>
    </row>
    <row r="52" spans="1:11" x14ac:dyDescent="0.25">
      <c r="A52" s="2" t="s">
        <v>3</v>
      </c>
      <c r="B52" s="2" t="s">
        <v>150</v>
      </c>
      <c r="C52" s="2"/>
      <c r="D52" s="2" t="s">
        <v>151</v>
      </c>
      <c r="E52" s="5" t="s">
        <v>71</v>
      </c>
      <c r="F52" s="5" t="s">
        <v>119</v>
      </c>
      <c r="G52" s="5" t="s">
        <v>12</v>
      </c>
      <c r="H52" s="5" t="s">
        <v>20</v>
      </c>
      <c r="I52" s="5" t="s">
        <v>6</v>
      </c>
      <c r="J52" s="7">
        <f t="shared" si="0"/>
        <v>4</v>
      </c>
      <c r="K52" s="12" t="s">
        <v>318</v>
      </c>
    </row>
    <row r="53" spans="1:11" x14ac:dyDescent="0.25">
      <c r="A53" s="2" t="s">
        <v>3</v>
      </c>
      <c r="B53" s="2" t="s">
        <v>153</v>
      </c>
      <c r="C53" s="2"/>
      <c r="D53" s="2" t="s">
        <v>154</v>
      </c>
      <c r="E53" s="5" t="s">
        <v>71</v>
      </c>
      <c r="F53" s="5" t="s">
        <v>92</v>
      </c>
      <c r="G53" s="5" t="s">
        <v>12</v>
      </c>
      <c r="H53" s="5" t="s">
        <v>20</v>
      </c>
      <c r="I53" s="5" t="s">
        <v>71</v>
      </c>
      <c r="J53" s="7">
        <f t="shared" si="0"/>
        <v>17</v>
      </c>
      <c r="K53" s="12" t="s">
        <v>318</v>
      </c>
    </row>
    <row r="54" spans="1:11" x14ac:dyDescent="0.25">
      <c r="A54" s="2" t="s">
        <v>3</v>
      </c>
      <c r="B54" s="2" t="s">
        <v>155</v>
      </c>
      <c r="C54" s="2"/>
      <c r="D54" s="2" t="s">
        <v>156</v>
      </c>
      <c r="E54" s="5" t="s">
        <v>71</v>
      </c>
      <c r="F54" s="5" t="s">
        <v>6</v>
      </c>
      <c r="G54" s="5" t="s">
        <v>12</v>
      </c>
      <c r="H54" s="5" t="s">
        <v>20</v>
      </c>
      <c r="I54" s="5" t="s">
        <v>64</v>
      </c>
      <c r="J54" s="7">
        <f t="shared" si="0"/>
        <v>18</v>
      </c>
      <c r="K54" s="12" t="s">
        <v>318</v>
      </c>
    </row>
    <row r="55" spans="1:11" x14ac:dyDescent="0.25">
      <c r="A55" s="2" t="s">
        <v>3</v>
      </c>
      <c r="B55" s="2" t="s">
        <v>157</v>
      </c>
      <c r="C55" s="2"/>
      <c r="D55" s="2" t="s">
        <v>158</v>
      </c>
      <c r="E55" s="5" t="s">
        <v>71</v>
      </c>
      <c r="F55" s="5" t="s">
        <v>26</v>
      </c>
      <c r="G55" s="5" t="s">
        <v>12</v>
      </c>
      <c r="H55" s="5" t="s">
        <v>20</v>
      </c>
      <c r="I55" s="5"/>
      <c r="J55" s="7">
        <f t="shared" si="0"/>
        <v>24</v>
      </c>
      <c r="K55" s="12" t="s">
        <v>318</v>
      </c>
    </row>
    <row r="56" spans="1:11" x14ac:dyDescent="0.25">
      <c r="A56" s="2" t="s">
        <v>3</v>
      </c>
      <c r="B56" s="2" t="s">
        <v>159</v>
      </c>
      <c r="C56" s="2"/>
      <c r="D56" s="2" t="s">
        <v>160</v>
      </c>
      <c r="E56" s="5" t="s">
        <v>71</v>
      </c>
      <c r="F56" s="5" t="s">
        <v>71</v>
      </c>
      <c r="G56" s="5" t="s">
        <v>12</v>
      </c>
      <c r="H56" s="5" t="s">
        <v>20</v>
      </c>
      <c r="I56" s="5" t="s">
        <v>23</v>
      </c>
      <c r="J56" s="7">
        <f t="shared" si="0"/>
        <v>13</v>
      </c>
      <c r="K56" s="12" t="s">
        <v>318</v>
      </c>
    </row>
    <row r="57" spans="1:11" x14ac:dyDescent="0.25">
      <c r="A57" s="2" t="s">
        <v>3</v>
      </c>
      <c r="B57" s="2" t="s">
        <v>298</v>
      </c>
      <c r="C57" s="2"/>
      <c r="D57" s="2" t="s">
        <v>299</v>
      </c>
      <c r="E57" s="5" t="s">
        <v>71</v>
      </c>
      <c r="F57" s="5" t="s">
        <v>7</v>
      </c>
      <c r="G57" s="5" t="s">
        <v>12</v>
      </c>
      <c r="H57" s="5" t="s">
        <v>20</v>
      </c>
      <c r="I57" s="5" t="s">
        <v>80</v>
      </c>
      <c r="J57" s="7">
        <f t="shared" si="0"/>
        <v>16</v>
      </c>
      <c r="K57" s="12" t="s">
        <v>318</v>
      </c>
    </row>
    <row r="58" spans="1:11" x14ac:dyDescent="0.25">
      <c r="A58" s="2" t="s">
        <v>3</v>
      </c>
      <c r="B58" s="2" t="s">
        <v>161</v>
      </c>
      <c r="C58" s="2"/>
      <c r="D58" s="2" t="s">
        <v>162</v>
      </c>
      <c r="E58" s="5" t="s">
        <v>71</v>
      </c>
      <c r="F58" s="5" t="s">
        <v>40</v>
      </c>
      <c r="G58" s="5" t="s">
        <v>12</v>
      </c>
      <c r="H58" s="5" t="s">
        <v>20</v>
      </c>
      <c r="I58" s="5"/>
      <c r="J58" s="7">
        <f t="shared" si="0"/>
        <v>21</v>
      </c>
      <c r="K58" s="12" t="s">
        <v>318</v>
      </c>
    </row>
    <row r="59" spans="1:11" x14ac:dyDescent="0.25">
      <c r="A59" s="14" t="s">
        <v>3</v>
      </c>
      <c r="B59" s="14" t="s">
        <v>163</v>
      </c>
      <c r="C59" s="2"/>
      <c r="D59" s="14" t="s">
        <v>164</v>
      </c>
      <c r="E59" s="15" t="s">
        <v>71</v>
      </c>
      <c r="F59" s="15" t="s">
        <v>89</v>
      </c>
      <c r="G59" s="15" t="s">
        <v>12</v>
      </c>
      <c r="H59" s="15" t="s">
        <v>20</v>
      </c>
      <c r="I59" s="15"/>
      <c r="J59" s="7">
        <f t="shared" si="0"/>
        <v>34</v>
      </c>
      <c r="K59" s="16" t="s">
        <v>318</v>
      </c>
    </row>
    <row r="60" spans="1:11" hidden="1" x14ac:dyDescent="0.25">
      <c r="A60" s="2" t="s">
        <v>3</v>
      </c>
      <c r="B60" s="2" t="s">
        <v>165</v>
      </c>
      <c r="C60" s="2"/>
      <c r="D60" s="2" t="s">
        <v>166</v>
      </c>
      <c r="E60" s="5" t="s">
        <v>115</v>
      </c>
      <c r="F60" s="5" t="s">
        <v>167</v>
      </c>
      <c r="G60" s="5" t="s">
        <v>302</v>
      </c>
      <c r="H60" s="5" t="s">
        <v>23</v>
      </c>
      <c r="I60" s="5" t="s">
        <v>301</v>
      </c>
      <c r="J60" s="7">
        <f t="shared" si="0"/>
        <v>-97</v>
      </c>
      <c r="K60" s="12" t="s">
        <v>317</v>
      </c>
    </row>
    <row r="61" spans="1:11" hidden="1" x14ac:dyDescent="0.25">
      <c r="A61" s="2" t="s">
        <v>3</v>
      </c>
      <c r="B61" s="2" t="s">
        <v>168</v>
      </c>
      <c r="C61" s="2"/>
      <c r="D61" s="2" t="s">
        <v>169</v>
      </c>
      <c r="E61" s="5" t="s">
        <v>115</v>
      </c>
      <c r="F61" s="5" t="s">
        <v>170</v>
      </c>
      <c r="G61" s="5" t="s">
        <v>302</v>
      </c>
      <c r="H61" s="5" t="s">
        <v>23</v>
      </c>
      <c r="I61" s="5" t="s">
        <v>301</v>
      </c>
      <c r="J61" s="7">
        <f t="shared" si="0"/>
        <v>-266</v>
      </c>
      <c r="K61" s="12" t="s">
        <v>317</v>
      </c>
    </row>
    <row r="62" spans="1:11" hidden="1" x14ac:dyDescent="0.25">
      <c r="A62" s="2" t="s">
        <v>3</v>
      </c>
      <c r="B62" s="2" t="s">
        <v>171</v>
      </c>
      <c r="C62" s="2" t="s">
        <v>305</v>
      </c>
      <c r="D62" s="2" t="s">
        <v>172</v>
      </c>
      <c r="E62" s="5" t="s">
        <v>71</v>
      </c>
      <c r="F62" s="5" t="s">
        <v>33</v>
      </c>
      <c r="G62" s="5" t="s">
        <v>12</v>
      </c>
      <c r="H62" s="5" t="s">
        <v>20</v>
      </c>
      <c r="I62" s="5" t="s">
        <v>80</v>
      </c>
      <c r="J62" s="7">
        <f t="shared" si="0"/>
        <v>-8</v>
      </c>
      <c r="K62" s="12" t="s">
        <v>317</v>
      </c>
    </row>
    <row r="63" spans="1:11" hidden="1" x14ac:dyDescent="0.25">
      <c r="A63" s="2" t="s">
        <v>3</v>
      </c>
      <c r="B63" s="2" t="s">
        <v>173</v>
      </c>
      <c r="C63" s="2" t="s">
        <v>305</v>
      </c>
      <c r="D63" s="2" t="s">
        <v>174</v>
      </c>
      <c r="E63" s="5" t="s">
        <v>71</v>
      </c>
      <c r="F63" s="5" t="s">
        <v>175</v>
      </c>
      <c r="G63" s="5" t="s">
        <v>12</v>
      </c>
      <c r="H63" s="5" t="s">
        <v>20</v>
      </c>
      <c r="I63" s="5" t="s">
        <v>80</v>
      </c>
      <c r="J63" s="7">
        <f t="shared" si="0"/>
        <v>-30</v>
      </c>
      <c r="K63" s="12" t="s">
        <v>317</v>
      </c>
    </row>
    <row r="64" spans="1:11" x14ac:dyDescent="0.25">
      <c r="A64" s="2" t="s">
        <v>3</v>
      </c>
      <c r="B64" s="2" t="s">
        <v>176</v>
      </c>
      <c r="C64" s="2"/>
      <c r="D64" s="2" t="s">
        <v>177</v>
      </c>
      <c r="E64" s="5" t="s">
        <v>71</v>
      </c>
      <c r="F64" s="5" t="s">
        <v>23</v>
      </c>
      <c r="G64" s="5" t="s">
        <v>12</v>
      </c>
      <c r="H64" s="5" t="s">
        <v>20</v>
      </c>
      <c r="I64" s="5" t="s">
        <v>115</v>
      </c>
      <c r="J64" s="7">
        <f t="shared" si="0"/>
        <v>9</v>
      </c>
      <c r="K64" s="12" t="s">
        <v>318</v>
      </c>
    </row>
    <row r="65" spans="1:11" x14ac:dyDescent="0.25">
      <c r="A65" s="14" t="s">
        <v>3</v>
      </c>
      <c r="B65" s="14" t="s">
        <v>178</v>
      </c>
      <c r="C65" s="2"/>
      <c r="D65" s="14" t="s">
        <v>179</v>
      </c>
      <c r="E65" s="15" t="s">
        <v>71</v>
      </c>
      <c r="F65" s="15" t="s">
        <v>120</v>
      </c>
      <c r="G65" s="15" t="s">
        <v>12</v>
      </c>
      <c r="H65" s="15" t="s">
        <v>20</v>
      </c>
      <c r="I65" s="15"/>
      <c r="J65" s="7">
        <f>G65+H65-F65-I65</f>
        <v>33</v>
      </c>
      <c r="K65" s="16" t="s">
        <v>318</v>
      </c>
    </row>
    <row r="66" spans="1:11" x14ac:dyDescent="0.25">
      <c r="A66" s="2" t="s">
        <v>180</v>
      </c>
      <c r="B66" s="2" t="s">
        <v>181</v>
      </c>
      <c r="C66" s="2"/>
      <c r="D66" s="2" t="s">
        <v>182</v>
      </c>
      <c r="E66" s="5" t="s">
        <v>71</v>
      </c>
      <c r="F66" s="5" t="s">
        <v>80</v>
      </c>
      <c r="G66" s="5" t="s">
        <v>12</v>
      </c>
      <c r="H66" s="5" t="s">
        <v>20</v>
      </c>
      <c r="I66" s="5"/>
      <c r="J66" s="7">
        <f t="shared" si="0"/>
        <v>16</v>
      </c>
      <c r="K66" s="12" t="s">
        <v>318</v>
      </c>
    </row>
    <row r="67" spans="1:11" x14ac:dyDescent="0.25">
      <c r="A67" s="2" t="s">
        <v>180</v>
      </c>
      <c r="B67" s="2" t="s">
        <v>183</v>
      </c>
      <c r="C67" s="2"/>
      <c r="D67" s="2" t="s">
        <v>184</v>
      </c>
      <c r="E67" s="5" t="s">
        <v>71</v>
      </c>
      <c r="F67" s="5" t="s">
        <v>139</v>
      </c>
      <c r="G67" s="5" t="s">
        <v>12</v>
      </c>
      <c r="H67" s="5" t="s">
        <v>20</v>
      </c>
      <c r="I67" s="5"/>
      <c r="J67" s="7">
        <f t="shared" si="0"/>
        <v>7</v>
      </c>
      <c r="K67" s="12" t="s">
        <v>318</v>
      </c>
    </row>
    <row r="68" spans="1:11" x14ac:dyDescent="0.25">
      <c r="A68" s="2" t="s">
        <v>180</v>
      </c>
      <c r="B68" s="2" t="s">
        <v>185</v>
      </c>
      <c r="C68" s="2"/>
      <c r="D68" s="2" t="s">
        <v>186</v>
      </c>
      <c r="E68" s="5" t="s">
        <v>71</v>
      </c>
      <c r="F68" s="5" t="s">
        <v>118</v>
      </c>
      <c r="G68" s="5" t="s">
        <v>12</v>
      </c>
      <c r="H68" s="5" t="s">
        <v>20</v>
      </c>
      <c r="I68" s="5"/>
      <c r="J68" s="7">
        <f t="shared" si="0"/>
        <v>27</v>
      </c>
      <c r="K68" s="12" t="s">
        <v>318</v>
      </c>
    </row>
    <row r="69" spans="1:11" x14ac:dyDescent="0.25">
      <c r="A69" s="2" t="s">
        <v>180</v>
      </c>
      <c r="B69" s="2" t="s">
        <v>187</v>
      </c>
      <c r="C69" s="2"/>
      <c r="D69" s="2" t="s">
        <v>188</v>
      </c>
      <c r="E69" s="5" t="s">
        <v>71</v>
      </c>
      <c r="F69" s="5" t="s">
        <v>123</v>
      </c>
      <c r="G69" s="5" t="s">
        <v>12</v>
      </c>
      <c r="H69" s="5" t="s">
        <v>20</v>
      </c>
      <c r="I69" s="5"/>
      <c r="J69" s="7">
        <f t="shared" ref="J69:J125" si="1">G69+H69-F69-I69</f>
        <v>11</v>
      </c>
      <c r="K69" s="12" t="s">
        <v>318</v>
      </c>
    </row>
    <row r="70" spans="1:11" hidden="1" x14ac:dyDescent="0.25">
      <c r="A70" s="2" t="s">
        <v>180</v>
      </c>
      <c r="B70" s="2" t="s">
        <v>189</v>
      </c>
      <c r="C70" s="2"/>
      <c r="D70" s="2" t="s">
        <v>190</v>
      </c>
      <c r="E70" s="5"/>
      <c r="F70" s="5" t="s">
        <v>42</v>
      </c>
      <c r="G70" s="5"/>
      <c r="H70" s="5"/>
      <c r="I70" s="5"/>
      <c r="J70" s="7"/>
      <c r="K70" s="12" t="s">
        <v>317</v>
      </c>
    </row>
    <row r="71" spans="1:11" x14ac:dyDescent="0.25">
      <c r="A71" s="2" t="s">
        <v>180</v>
      </c>
      <c r="B71" s="2" t="s">
        <v>191</v>
      </c>
      <c r="C71" s="2"/>
      <c r="D71" s="2" t="s">
        <v>192</v>
      </c>
      <c r="E71" s="5"/>
      <c r="F71" s="5" t="s">
        <v>64</v>
      </c>
      <c r="G71" s="5"/>
      <c r="H71" s="5"/>
      <c r="I71" s="5"/>
      <c r="J71" s="7">
        <v>2</v>
      </c>
      <c r="K71" s="12" t="s">
        <v>318</v>
      </c>
    </row>
    <row r="72" spans="1:11" x14ac:dyDescent="0.25">
      <c r="A72" s="2" t="s">
        <v>180</v>
      </c>
      <c r="B72" s="2" t="s">
        <v>193</v>
      </c>
      <c r="C72" s="2"/>
      <c r="D72" s="2" t="s">
        <v>194</v>
      </c>
      <c r="E72" s="5"/>
      <c r="F72" s="5" t="s">
        <v>115</v>
      </c>
      <c r="G72" s="5"/>
      <c r="H72" s="5"/>
      <c r="I72" s="5"/>
      <c r="J72" s="7">
        <v>10</v>
      </c>
      <c r="K72" s="12" t="s">
        <v>318</v>
      </c>
    </row>
    <row r="73" spans="1:11" x14ac:dyDescent="0.25">
      <c r="A73" s="2" t="s">
        <v>180</v>
      </c>
      <c r="B73" s="2" t="s">
        <v>320</v>
      </c>
      <c r="C73" s="2"/>
      <c r="D73" s="2" t="s">
        <v>312</v>
      </c>
      <c r="E73" s="5"/>
      <c r="F73" s="5" t="s">
        <v>7</v>
      </c>
      <c r="G73" s="5"/>
      <c r="H73" s="5"/>
      <c r="I73" s="5" t="s">
        <v>89</v>
      </c>
      <c r="J73" s="7">
        <v>5</v>
      </c>
      <c r="K73" s="12" t="s">
        <v>318</v>
      </c>
    </row>
    <row r="74" spans="1:11" x14ac:dyDescent="0.25">
      <c r="A74" s="2" t="s">
        <v>180</v>
      </c>
      <c r="B74" s="2" t="s">
        <v>321</v>
      </c>
      <c r="C74" s="2"/>
      <c r="D74" s="2" t="s">
        <v>313</v>
      </c>
      <c r="E74" s="5"/>
      <c r="F74" s="5" t="s">
        <v>7</v>
      </c>
      <c r="G74" s="5"/>
      <c r="H74" s="5"/>
      <c r="I74" s="5" t="s">
        <v>40</v>
      </c>
      <c r="J74" s="7">
        <v>5</v>
      </c>
      <c r="K74" s="12" t="s">
        <v>318</v>
      </c>
    </row>
    <row r="75" spans="1:11" x14ac:dyDescent="0.25">
      <c r="A75" s="2" t="s">
        <v>180</v>
      </c>
      <c r="B75" s="2" t="s">
        <v>322</v>
      </c>
      <c r="C75" s="2"/>
      <c r="D75" s="2" t="s">
        <v>314</v>
      </c>
      <c r="E75" s="5"/>
      <c r="F75" s="5" t="s">
        <v>7</v>
      </c>
      <c r="G75" s="5"/>
      <c r="H75" s="5"/>
      <c r="I75" s="5" t="s">
        <v>6</v>
      </c>
      <c r="J75" s="7">
        <v>12</v>
      </c>
      <c r="K75" s="12" t="s">
        <v>318</v>
      </c>
    </row>
    <row r="76" spans="1:11" hidden="1" x14ac:dyDescent="0.25">
      <c r="A76" s="2" t="s">
        <v>180</v>
      </c>
      <c r="B76" s="2" t="s">
        <v>195</v>
      </c>
      <c r="C76" s="2"/>
      <c r="D76" s="2" t="s">
        <v>196</v>
      </c>
      <c r="E76" s="5"/>
      <c r="F76" s="5" t="s">
        <v>12</v>
      </c>
      <c r="G76" s="5"/>
      <c r="H76" s="5"/>
      <c r="I76" s="5"/>
      <c r="J76" s="7"/>
      <c r="K76" s="12" t="s">
        <v>317</v>
      </c>
    </row>
    <row r="77" spans="1:11" hidden="1" x14ac:dyDescent="0.25">
      <c r="A77" s="2" t="s">
        <v>180</v>
      </c>
      <c r="B77" s="2" t="s">
        <v>197</v>
      </c>
      <c r="C77" s="2"/>
      <c r="D77" s="2" t="s">
        <v>198</v>
      </c>
      <c r="E77" s="5"/>
      <c r="F77" s="5" t="s">
        <v>75</v>
      </c>
      <c r="G77" s="5"/>
      <c r="H77" s="5"/>
      <c r="I77" s="5" t="s">
        <v>89</v>
      </c>
      <c r="J77" s="7"/>
      <c r="K77" s="12" t="s">
        <v>317</v>
      </c>
    </row>
    <row r="78" spans="1:11" hidden="1" x14ac:dyDescent="0.25">
      <c r="A78" s="2" t="s">
        <v>180</v>
      </c>
      <c r="B78" s="2" t="s">
        <v>199</v>
      </c>
      <c r="C78" s="2"/>
      <c r="D78" s="2" t="s">
        <v>200</v>
      </c>
      <c r="E78" s="5"/>
      <c r="F78" s="5" t="s">
        <v>42</v>
      </c>
      <c r="G78" s="5"/>
      <c r="H78" s="5"/>
      <c r="I78" s="5" t="s">
        <v>89</v>
      </c>
      <c r="J78" s="7"/>
      <c r="K78" s="12" t="s">
        <v>317</v>
      </c>
    </row>
    <row r="79" spans="1:11" hidden="1" x14ac:dyDescent="0.25">
      <c r="A79" s="2" t="s">
        <v>180</v>
      </c>
      <c r="B79" s="2" t="s">
        <v>201</v>
      </c>
      <c r="C79" s="2"/>
      <c r="D79" s="2" t="s">
        <v>202</v>
      </c>
      <c r="E79" s="5"/>
      <c r="F79" s="5" t="s">
        <v>130</v>
      </c>
      <c r="G79" s="5"/>
      <c r="H79" s="5"/>
      <c r="I79" s="5" t="s">
        <v>89</v>
      </c>
      <c r="J79" s="7"/>
      <c r="K79" s="12" t="s">
        <v>317</v>
      </c>
    </row>
    <row r="80" spans="1:11" hidden="1" x14ac:dyDescent="0.25">
      <c r="A80" s="2" t="s">
        <v>180</v>
      </c>
      <c r="B80" s="2" t="s">
        <v>203</v>
      </c>
      <c r="C80" s="2"/>
      <c r="D80" s="2" t="s">
        <v>204</v>
      </c>
      <c r="E80" s="5"/>
      <c r="F80" s="5" t="s">
        <v>42</v>
      </c>
      <c r="G80" s="5"/>
      <c r="H80" s="5"/>
      <c r="I80" s="5"/>
      <c r="J80" s="7"/>
      <c r="K80" s="12" t="s">
        <v>317</v>
      </c>
    </row>
    <row r="81" spans="1:11" x14ac:dyDescent="0.25">
      <c r="A81" s="2" t="s">
        <v>180</v>
      </c>
      <c r="B81" s="2" t="s">
        <v>205</v>
      </c>
      <c r="C81" s="2"/>
      <c r="D81" s="2" t="s">
        <v>206</v>
      </c>
      <c r="E81" s="5"/>
      <c r="F81" s="5" t="s">
        <v>29</v>
      </c>
      <c r="G81" s="5"/>
      <c r="H81" s="5"/>
      <c r="I81" s="5"/>
      <c r="J81" s="7">
        <v>10</v>
      </c>
      <c r="K81" s="12" t="s">
        <v>318</v>
      </c>
    </row>
    <row r="82" spans="1:11" hidden="1" x14ac:dyDescent="0.25">
      <c r="A82" s="2" t="s">
        <v>180</v>
      </c>
      <c r="B82" s="2" t="s">
        <v>207</v>
      </c>
      <c r="C82" s="2"/>
      <c r="D82" s="2" t="s">
        <v>208</v>
      </c>
      <c r="E82" s="5"/>
      <c r="F82" s="5" t="s">
        <v>60</v>
      </c>
      <c r="G82" s="5"/>
      <c r="H82" s="5"/>
      <c r="I82" s="5" t="s">
        <v>80</v>
      </c>
      <c r="J82" s="7"/>
      <c r="K82" s="12" t="s">
        <v>317</v>
      </c>
    </row>
    <row r="83" spans="1:11" x14ac:dyDescent="0.25">
      <c r="A83" s="2" t="s">
        <v>180</v>
      </c>
      <c r="B83" s="2" t="s">
        <v>307</v>
      </c>
      <c r="C83" s="2"/>
      <c r="D83" s="2" t="s">
        <v>306</v>
      </c>
      <c r="E83" s="5"/>
      <c r="F83" s="5" t="s">
        <v>7</v>
      </c>
      <c r="G83" s="5"/>
      <c r="H83" s="5"/>
      <c r="I83" s="5" t="s">
        <v>29</v>
      </c>
      <c r="J83" s="7">
        <v>10</v>
      </c>
      <c r="K83" s="12" t="s">
        <v>318</v>
      </c>
    </row>
    <row r="84" spans="1:11" x14ac:dyDescent="0.25">
      <c r="A84" s="2" t="s">
        <v>180</v>
      </c>
      <c r="B84" s="2" t="s">
        <v>309</v>
      </c>
      <c r="C84" s="2"/>
      <c r="D84" s="2" t="s">
        <v>308</v>
      </c>
      <c r="E84" s="5"/>
      <c r="F84" s="5" t="s">
        <v>7</v>
      </c>
      <c r="G84" s="5"/>
      <c r="H84" s="5"/>
      <c r="I84" s="5" t="s">
        <v>17</v>
      </c>
      <c r="J84" s="13">
        <v>20</v>
      </c>
      <c r="K84" s="12" t="s">
        <v>318</v>
      </c>
    </row>
    <row r="85" spans="1:11" x14ac:dyDescent="0.25">
      <c r="A85" s="2" t="s">
        <v>180</v>
      </c>
      <c r="B85" s="2" t="s">
        <v>209</v>
      </c>
      <c r="C85" s="2"/>
      <c r="D85" s="2" t="s">
        <v>210</v>
      </c>
      <c r="E85" s="5"/>
      <c r="F85" s="5" t="s">
        <v>8</v>
      </c>
      <c r="G85" s="5"/>
      <c r="H85" s="5"/>
      <c r="I85" s="9" t="s">
        <v>83</v>
      </c>
      <c r="J85" s="7">
        <v>10</v>
      </c>
      <c r="K85" s="12" t="s">
        <v>318</v>
      </c>
    </row>
    <row r="86" spans="1:11" x14ac:dyDescent="0.25">
      <c r="A86" s="2" t="s">
        <v>180</v>
      </c>
      <c r="B86" s="2" t="s">
        <v>211</v>
      </c>
      <c r="C86" s="2"/>
      <c r="D86" s="2" t="s">
        <v>212</v>
      </c>
      <c r="E86" s="5"/>
      <c r="F86" s="5" t="s">
        <v>39</v>
      </c>
      <c r="G86" s="5"/>
      <c r="H86" s="5"/>
      <c r="I86" s="9" t="s">
        <v>26</v>
      </c>
      <c r="J86" s="7">
        <v>30</v>
      </c>
      <c r="K86" s="12" t="s">
        <v>318</v>
      </c>
    </row>
    <row r="87" spans="1:11" x14ac:dyDescent="0.25">
      <c r="A87" s="2" t="s">
        <v>180</v>
      </c>
      <c r="B87" s="2" t="s">
        <v>213</v>
      </c>
      <c r="C87" s="2"/>
      <c r="D87" s="2" t="s">
        <v>214</v>
      </c>
      <c r="E87" s="5"/>
      <c r="F87" s="5" t="s">
        <v>23</v>
      </c>
      <c r="G87" s="5"/>
      <c r="H87" s="5"/>
      <c r="I87" s="9" t="s">
        <v>26</v>
      </c>
      <c r="J87" s="7">
        <v>30</v>
      </c>
      <c r="K87" s="12" t="s">
        <v>318</v>
      </c>
    </row>
    <row r="88" spans="1:11" x14ac:dyDescent="0.25">
      <c r="A88" s="2" t="s">
        <v>180</v>
      </c>
      <c r="B88" s="2" t="s">
        <v>215</v>
      </c>
      <c r="C88" s="2"/>
      <c r="D88" s="2" t="s">
        <v>216</v>
      </c>
      <c r="E88" s="5"/>
      <c r="F88" s="5" t="s">
        <v>16</v>
      </c>
      <c r="G88" s="5"/>
      <c r="H88" s="5"/>
      <c r="I88" s="9" t="s">
        <v>20</v>
      </c>
      <c r="J88" s="7">
        <v>30</v>
      </c>
      <c r="K88" s="12" t="s">
        <v>318</v>
      </c>
    </row>
    <row r="89" spans="1:11" hidden="1" x14ac:dyDescent="0.25">
      <c r="A89" s="2" t="s">
        <v>180</v>
      </c>
      <c r="B89" s="2" t="s">
        <v>217</v>
      </c>
      <c r="C89" s="2"/>
      <c r="D89" s="2" t="s">
        <v>218</v>
      </c>
      <c r="E89" s="5"/>
      <c r="F89" s="5" t="s">
        <v>219</v>
      </c>
      <c r="G89" s="5"/>
      <c r="H89" s="5"/>
      <c r="I89" s="9"/>
      <c r="J89" s="7"/>
      <c r="K89" s="12" t="s">
        <v>317</v>
      </c>
    </row>
    <row r="90" spans="1:11" x14ac:dyDescent="0.25">
      <c r="A90" s="2" t="s">
        <v>180</v>
      </c>
      <c r="B90" s="2" t="s">
        <v>220</v>
      </c>
      <c r="C90" s="2"/>
      <c r="D90" s="2" t="s">
        <v>221</v>
      </c>
      <c r="E90" s="5"/>
      <c r="F90" s="5" t="s">
        <v>121</v>
      </c>
      <c r="G90" s="5"/>
      <c r="H90" s="5"/>
      <c r="I90" s="9" t="s">
        <v>121</v>
      </c>
      <c r="J90" s="7">
        <v>30</v>
      </c>
      <c r="K90" s="12" t="s">
        <v>318</v>
      </c>
    </row>
    <row r="91" spans="1:11" x14ac:dyDescent="0.25">
      <c r="A91" s="2" t="s">
        <v>180</v>
      </c>
      <c r="B91" s="2" t="s">
        <v>311</v>
      </c>
      <c r="C91" s="2"/>
      <c r="D91" s="2" t="s">
        <v>310</v>
      </c>
      <c r="E91" s="5"/>
      <c r="F91" s="5" t="s">
        <v>7</v>
      </c>
      <c r="G91" s="5"/>
      <c r="H91" s="5"/>
      <c r="I91" s="9" t="s">
        <v>83</v>
      </c>
      <c r="J91" s="7">
        <v>20</v>
      </c>
      <c r="K91" s="12" t="s">
        <v>318</v>
      </c>
    </row>
    <row r="92" spans="1:11" x14ac:dyDescent="0.25">
      <c r="A92" s="2" t="s">
        <v>180</v>
      </c>
      <c r="B92" s="2" t="s">
        <v>222</v>
      </c>
      <c r="C92" s="2"/>
      <c r="D92" s="2" t="s">
        <v>223</v>
      </c>
      <c r="E92" s="5"/>
      <c r="F92" s="5" t="s">
        <v>71</v>
      </c>
      <c r="G92" s="5"/>
      <c r="H92" s="5"/>
      <c r="I92" s="9" t="s">
        <v>70</v>
      </c>
      <c r="J92" s="7">
        <v>10</v>
      </c>
      <c r="K92" s="12" t="s">
        <v>318</v>
      </c>
    </row>
    <row r="93" spans="1:11" x14ac:dyDescent="0.25">
      <c r="A93" s="2" t="s">
        <v>180</v>
      </c>
      <c r="B93" s="2" t="s">
        <v>224</v>
      </c>
      <c r="C93" s="2"/>
      <c r="D93" s="2" t="s">
        <v>225</v>
      </c>
      <c r="E93" s="5"/>
      <c r="F93" s="5" t="s">
        <v>130</v>
      </c>
      <c r="G93" s="5"/>
      <c r="H93" s="5"/>
      <c r="I93" s="9" t="s">
        <v>89</v>
      </c>
      <c r="J93" s="7">
        <v>20</v>
      </c>
      <c r="K93" s="12" t="s">
        <v>318</v>
      </c>
    </row>
    <row r="94" spans="1:11" x14ac:dyDescent="0.25">
      <c r="A94" s="2" t="s">
        <v>180</v>
      </c>
      <c r="B94" s="2" t="s">
        <v>226</v>
      </c>
      <c r="C94" s="2"/>
      <c r="D94" s="2" t="s">
        <v>227</v>
      </c>
      <c r="E94" s="5" t="s">
        <v>71</v>
      </c>
      <c r="F94" s="5" t="s">
        <v>115</v>
      </c>
      <c r="G94" s="5" t="s">
        <v>12</v>
      </c>
      <c r="H94" s="5" t="s">
        <v>20</v>
      </c>
      <c r="I94" s="9" t="s">
        <v>80</v>
      </c>
      <c r="J94" s="7">
        <f t="shared" si="1"/>
        <v>11</v>
      </c>
      <c r="K94" s="12" t="s">
        <v>318</v>
      </c>
    </row>
    <row r="95" spans="1:11" x14ac:dyDescent="0.25">
      <c r="A95" s="2" t="s">
        <v>180</v>
      </c>
      <c r="B95" s="2" t="s">
        <v>228</v>
      </c>
      <c r="C95" s="2"/>
      <c r="D95" s="2" t="s">
        <v>229</v>
      </c>
      <c r="E95" s="5" t="s">
        <v>71</v>
      </c>
      <c r="F95" s="5" t="s">
        <v>130</v>
      </c>
      <c r="G95" s="5" t="s">
        <v>12</v>
      </c>
      <c r="H95" s="5" t="s">
        <v>20</v>
      </c>
      <c r="I95" s="9" t="s">
        <v>80</v>
      </c>
      <c r="J95" s="7">
        <f t="shared" si="1"/>
        <v>2</v>
      </c>
      <c r="K95" s="12" t="s">
        <v>318</v>
      </c>
    </row>
    <row r="96" spans="1:11" x14ac:dyDescent="0.25">
      <c r="A96" s="2" t="s">
        <v>180</v>
      </c>
      <c r="B96" s="2" t="s">
        <v>230</v>
      </c>
      <c r="C96" s="2"/>
      <c r="D96" s="2" t="s">
        <v>231</v>
      </c>
      <c r="E96" s="5" t="s">
        <v>71</v>
      </c>
      <c r="F96" s="5" t="s">
        <v>8</v>
      </c>
      <c r="G96" s="5" t="s">
        <v>12</v>
      </c>
      <c r="H96" s="5" t="s">
        <v>20</v>
      </c>
      <c r="I96" s="9" t="s">
        <v>30</v>
      </c>
      <c r="J96" s="7">
        <f t="shared" si="1"/>
        <v>27</v>
      </c>
      <c r="K96" s="12" t="s">
        <v>318</v>
      </c>
    </row>
    <row r="97" spans="1:11" x14ac:dyDescent="0.25">
      <c r="A97" s="14" t="s">
        <v>180</v>
      </c>
      <c r="B97" s="14" t="s">
        <v>232</v>
      </c>
      <c r="C97" s="2"/>
      <c r="D97" s="14" t="s">
        <v>233</v>
      </c>
      <c r="E97" s="15" t="s">
        <v>71</v>
      </c>
      <c r="F97" s="15" t="s">
        <v>60</v>
      </c>
      <c r="G97" s="15" t="s">
        <v>12</v>
      </c>
      <c r="H97" s="15" t="s">
        <v>20</v>
      </c>
      <c r="I97" s="25"/>
      <c r="J97" s="7">
        <f>G97+H97-F97-I97</f>
        <v>31</v>
      </c>
      <c r="K97" s="16" t="s">
        <v>318</v>
      </c>
    </row>
    <row r="98" spans="1:11" x14ac:dyDescent="0.25">
      <c r="A98" s="2" t="s">
        <v>180</v>
      </c>
      <c r="B98" s="2" t="s">
        <v>234</v>
      </c>
      <c r="C98" s="2"/>
      <c r="D98" s="2" t="s">
        <v>235</v>
      </c>
      <c r="E98" s="5" t="s">
        <v>71</v>
      </c>
      <c r="F98" s="5" t="s">
        <v>29</v>
      </c>
      <c r="G98" s="5" t="s">
        <v>12</v>
      </c>
      <c r="H98" s="5" t="s">
        <v>20</v>
      </c>
      <c r="I98" s="9"/>
      <c r="J98" s="7">
        <f t="shared" si="1"/>
        <v>13</v>
      </c>
      <c r="K98" s="12" t="s">
        <v>318</v>
      </c>
    </row>
    <row r="99" spans="1:11" x14ac:dyDescent="0.25">
      <c r="A99" s="2" t="s">
        <v>180</v>
      </c>
      <c r="B99" s="2" t="s">
        <v>236</v>
      </c>
      <c r="C99" s="2"/>
      <c r="D99" s="2" t="s">
        <v>237</v>
      </c>
      <c r="E99" s="5" t="s">
        <v>71</v>
      </c>
      <c r="F99" s="5" t="s">
        <v>12</v>
      </c>
      <c r="G99" s="5" t="s">
        <v>12</v>
      </c>
      <c r="H99" s="5" t="s">
        <v>20</v>
      </c>
      <c r="I99" s="9"/>
      <c r="J99" s="7">
        <f t="shared" si="1"/>
        <v>6</v>
      </c>
      <c r="K99" s="12" t="s">
        <v>318</v>
      </c>
    </row>
    <row r="100" spans="1:11" x14ac:dyDescent="0.25">
      <c r="A100" s="14" t="s">
        <v>180</v>
      </c>
      <c r="B100" s="14" t="s">
        <v>238</v>
      </c>
      <c r="C100" s="2"/>
      <c r="D100" s="14" t="s">
        <v>239</v>
      </c>
      <c r="E100" s="15" t="s">
        <v>75</v>
      </c>
      <c r="F100" s="15" t="s">
        <v>12</v>
      </c>
      <c r="G100" s="15" t="s">
        <v>300</v>
      </c>
      <c r="H100" s="15" t="s">
        <v>6</v>
      </c>
      <c r="I100" s="25" t="s">
        <v>273</v>
      </c>
      <c r="J100" s="7">
        <f>G100+H100-F100-I100</f>
        <v>10</v>
      </c>
      <c r="K100" s="16" t="s">
        <v>318</v>
      </c>
    </row>
    <row r="101" spans="1:11" x14ac:dyDescent="0.25">
      <c r="A101" s="2" t="s">
        <v>180</v>
      </c>
      <c r="B101" s="2" t="s">
        <v>240</v>
      </c>
      <c r="C101" s="2"/>
      <c r="D101" s="2" t="s">
        <v>241</v>
      </c>
      <c r="E101" s="5" t="s">
        <v>71</v>
      </c>
      <c r="F101" s="5" t="s">
        <v>33</v>
      </c>
      <c r="G101" s="5" t="s">
        <v>12</v>
      </c>
      <c r="H101" s="5" t="s">
        <v>20</v>
      </c>
      <c r="I101" s="9"/>
      <c r="J101" s="7">
        <f t="shared" si="1"/>
        <v>20</v>
      </c>
      <c r="K101" s="12" t="s">
        <v>318</v>
      </c>
    </row>
    <row r="102" spans="1:11" x14ac:dyDescent="0.25">
      <c r="A102" s="2" t="s">
        <v>180</v>
      </c>
      <c r="B102" s="2" t="s">
        <v>242</v>
      </c>
      <c r="C102" s="2"/>
      <c r="D102" s="2" t="s">
        <v>243</v>
      </c>
      <c r="E102" s="5" t="s">
        <v>71</v>
      </c>
      <c r="F102" s="5" t="s">
        <v>36</v>
      </c>
      <c r="G102" s="5" t="s">
        <v>12</v>
      </c>
      <c r="H102" s="5" t="s">
        <v>20</v>
      </c>
      <c r="I102" s="9"/>
      <c r="J102" s="7">
        <f t="shared" si="1"/>
        <v>10</v>
      </c>
      <c r="K102" s="12" t="s">
        <v>318</v>
      </c>
    </row>
    <row r="103" spans="1:11" hidden="1" x14ac:dyDescent="0.25">
      <c r="A103" s="2" t="s">
        <v>180</v>
      </c>
      <c r="B103" s="2" t="s">
        <v>244</v>
      </c>
      <c r="C103" s="2"/>
      <c r="D103" s="2" t="s">
        <v>245</v>
      </c>
      <c r="E103" s="5" t="s">
        <v>71</v>
      </c>
      <c r="F103" s="5" t="s">
        <v>246</v>
      </c>
      <c r="G103" s="5" t="s">
        <v>12</v>
      </c>
      <c r="H103" s="5" t="s">
        <v>20</v>
      </c>
      <c r="I103" s="9"/>
      <c r="J103" s="7">
        <f t="shared" si="1"/>
        <v>-4</v>
      </c>
      <c r="K103" s="12" t="s">
        <v>317</v>
      </c>
    </row>
    <row r="104" spans="1:11" x14ac:dyDescent="0.25">
      <c r="A104" s="2" t="s">
        <v>180</v>
      </c>
      <c r="B104" s="2" t="s">
        <v>247</v>
      </c>
      <c r="C104" s="2"/>
      <c r="D104" s="2" t="s">
        <v>248</v>
      </c>
      <c r="E104" s="5" t="s">
        <v>71</v>
      </c>
      <c r="F104" s="5" t="s">
        <v>43</v>
      </c>
      <c r="G104" s="5" t="s">
        <v>12</v>
      </c>
      <c r="H104" s="5" t="s">
        <v>20</v>
      </c>
      <c r="I104" s="9"/>
      <c r="J104" s="7">
        <f t="shared" si="1"/>
        <v>25</v>
      </c>
      <c r="K104" s="12" t="s">
        <v>318</v>
      </c>
    </row>
    <row r="105" spans="1:11" hidden="1" x14ac:dyDescent="0.25">
      <c r="A105" s="2" t="s">
        <v>180</v>
      </c>
      <c r="B105" s="2" t="s">
        <v>249</v>
      </c>
      <c r="C105" s="2"/>
      <c r="D105" s="2" t="s">
        <v>250</v>
      </c>
      <c r="E105" s="5"/>
      <c r="F105" s="5" t="s">
        <v>67</v>
      </c>
      <c r="G105" s="5"/>
      <c r="H105" s="5"/>
      <c r="I105" s="9"/>
      <c r="J105" s="7">
        <f t="shared" si="1"/>
        <v>-25</v>
      </c>
      <c r="K105" s="12" t="s">
        <v>317</v>
      </c>
    </row>
    <row r="106" spans="1:11" x14ac:dyDescent="0.25">
      <c r="A106" s="2" t="s">
        <v>180</v>
      </c>
      <c r="B106" s="2" t="s">
        <v>251</v>
      </c>
      <c r="C106" s="2"/>
      <c r="D106" s="2" t="s">
        <v>252</v>
      </c>
      <c r="E106" s="5"/>
      <c r="F106" s="5" t="s">
        <v>115</v>
      </c>
      <c r="G106" s="5"/>
      <c r="H106" s="5"/>
      <c r="I106" s="5" t="s">
        <v>89</v>
      </c>
      <c r="J106" s="7">
        <v>20</v>
      </c>
      <c r="K106" s="12" t="s">
        <v>318</v>
      </c>
    </row>
    <row r="107" spans="1:11" x14ac:dyDescent="0.25">
      <c r="A107" s="2" t="s">
        <v>180</v>
      </c>
      <c r="B107" s="2" t="s">
        <v>249</v>
      </c>
      <c r="C107" s="2"/>
      <c r="D107" s="2" t="s">
        <v>250</v>
      </c>
      <c r="E107" s="5"/>
      <c r="F107" s="5" t="s">
        <v>7</v>
      </c>
      <c r="G107" s="5"/>
      <c r="H107" s="5"/>
      <c r="I107" s="5"/>
      <c r="J107" s="7">
        <v>10</v>
      </c>
      <c r="K107" s="12" t="s">
        <v>318</v>
      </c>
    </row>
    <row r="108" spans="1:11" x14ac:dyDescent="0.25">
      <c r="A108" s="2" t="s">
        <v>180</v>
      </c>
      <c r="B108" s="2" t="s">
        <v>253</v>
      </c>
      <c r="C108" s="2"/>
      <c r="D108" s="2" t="s">
        <v>254</v>
      </c>
      <c r="E108" s="5"/>
      <c r="F108" s="5" t="s">
        <v>20</v>
      </c>
      <c r="G108" s="5"/>
      <c r="H108" s="5"/>
      <c r="I108" s="5" t="s">
        <v>64</v>
      </c>
      <c r="J108" s="7">
        <v>20</v>
      </c>
      <c r="K108" s="12" t="s">
        <v>318</v>
      </c>
    </row>
    <row r="109" spans="1:11" x14ac:dyDescent="0.25">
      <c r="A109" s="2" t="s">
        <v>180</v>
      </c>
      <c r="B109" s="2" t="s">
        <v>255</v>
      </c>
      <c r="C109" s="2"/>
      <c r="D109" s="2" t="s">
        <v>256</v>
      </c>
      <c r="E109" s="5"/>
      <c r="F109" s="5" t="s">
        <v>8</v>
      </c>
      <c r="G109" s="5"/>
      <c r="H109" s="5"/>
      <c r="I109" s="5" t="s">
        <v>64</v>
      </c>
      <c r="J109" s="7">
        <v>10</v>
      </c>
      <c r="K109" s="12" t="s">
        <v>318</v>
      </c>
    </row>
    <row r="110" spans="1:11" x14ac:dyDescent="0.25">
      <c r="A110" s="2" t="s">
        <v>180</v>
      </c>
      <c r="B110" s="2" t="s">
        <v>257</v>
      </c>
      <c r="C110" s="2"/>
      <c r="D110" s="2" t="s">
        <v>258</v>
      </c>
      <c r="E110" s="5"/>
      <c r="F110" s="5" t="s">
        <v>71</v>
      </c>
      <c r="G110" s="5"/>
      <c r="H110" s="5"/>
      <c r="I110" s="5" t="s">
        <v>115</v>
      </c>
      <c r="J110" s="7">
        <v>10</v>
      </c>
      <c r="K110" s="12" t="s">
        <v>318</v>
      </c>
    </row>
    <row r="111" spans="1:11" x14ac:dyDescent="0.25">
      <c r="A111" s="2" t="s">
        <v>180</v>
      </c>
      <c r="B111" s="2" t="s">
        <v>259</v>
      </c>
      <c r="C111" s="2"/>
      <c r="D111" s="2" t="s">
        <v>260</v>
      </c>
      <c r="E111" s="5" t="s">
        <v>71</v>
      </c>
      <c r="F111" s="5" t="s">
        <v>39</v>
      </c>
      <c r="G111" s="5" t="s">
        <v>12</v>
      </c>
      <c r="H111" s="5" t="s">
        <v>20</v>
      </c>
      <c r="I111" s="9" t="s">
        <v>80</v>
      </c>
      <c r="J111" s="7">
        <f t="shared" si="1"/>
        <v>9</v>
      </c>
      <c r="K111" s="12" t="s">
        <v>318</v>
      </c>
    </row>
    <row r="112" spans="1:11" x14ac:dyDescent="0.25">
      <c r="A112" s="2" t="s">
        <v>180</v>
      </c>
      <c r="B112" s="2" t="s">
        <v>261</v>
      </c>
      <c r="C112" s="2"/>
      <c r="D112" s="2" t="s">
        <v>262</v>
      </c>
      <c r="E112" s="5" t="s">
        <v>71</v>
      </c>
      <c r="F112" s="5" t="s">
        <v>71</v>
      </c>
      <c r="G112" s="5" t="s">
        <v>12</v>
      </c>
      <c r="H112" s="5" t="s">
        <v>20</v>
      </c>
      <c r="I112" s="9" t="s">
        <v>23</v>
      </c>
      <c r="J112" s="7">
        <f t="shared" si="1"/>
        <v>13</v>
      </c>
      <c r="K112" s="12" t="s">
        <v>318</v>
      </c>
    </row>
    <row r="113" spans="1:11" x14ac:dyDescent="0.25">
      <c r="A113" s="2" t="s">
        <v>180</v>
      </c>
      <c r="B113" s="2" t="s">
        <v>263</v>
      </c>
      <c r="C113" s="2"/>
      <c r="D113" s="2" t="s">
        <v>264</v>
      </c>
      <c r="E113" s="5" t="s">
        <v>71</v>
      </c>
      <c r="F113" s="5" t="s">
        <v>89</v>
      </c>
      <c r="G113" s="5" t="s">
        <v>12</v>
      </c>
      <c r="H113" s="5" t="s">
        <v>20</v>
      </c>
      <c r="I113" s="9" t="s">
        <v>23</v>
      </c>
      <c r="J113" s="7">
        <f t="shared" si="1"/>
        <v>4</v>
      </c>
      <c r="K113" s="12" t="s">
        <v>318</v>
      </c>
    </row>
    <row r="114" spans="1:11" hidden="1" x14ac:dyDescent="0.25">
      <c r="A114" s="2" t="s">
        <v>180</v>
      </c>
      <c r="B114" s="2" t="s">
        <v>265</v>
      </c>
      <c r="C114" s="2"/>
      <c r="D114" s="2" t="s">
        <v>266</v>
      </c>
      <c r="E114" s="5" t="s">
        <v>71</v>
      </c>
      <c r="F114" s="5" t="s">
        <v>121</v>
      </c>
      <c r="G114" s="5" t="s">
        <v>12</v>
      </c>
      <c r="H114" s="5" t="s">
        <v>20</v>
      </c>
      <c r="I114" s="9" t="s">
        <v>23</v>
      </c>
      <c r="J114" s="7">
        <f t="shared" si="1"/>
        <v>-2</v>
      </c>
      <c r="K114" s="12" t="s">
        <v>317</v>
      </c>
    </row>
    <row r="115" spans="1:11" x14ac:dyDescent="0.25">
      <c r="A115" s="2" t="s">
        <v>180</v>
      </c>
      <c r="B115" s="2" t="s">
        <v>267</v>
      </c>
      <c r="C115" s="2"/>
      <c r="D115" s="2" t="s">
        <v>268</v>
      </c>
      <c r="E115" s="5" t="s">
        <v>71</v>
      </c>
      <c r="F115" s="5" t="s">
        <v>43</v>
      </c>
      <c r="G115" s="5" t="s">
        <v>12</v>
      </c>
      <c r="H115" s="5" t="s">
        <v>20</v>
      </c>
      <c r="I115" s="9"/>
      <c r="J115" s="7">
        <f t="shared" si="1"/>
        <v>25</v>
      </c>
      <c r="K115" s="12" t="s">
        <v>318</v>
      </c>
    </row>
    <row r="116" spans="1:11" x14ac:dyDescent="0.25">
      <c r="A116" s="14" t="s">
        <v>180</v>
      </c>
      <c r="B116" s="14" t="s">
        <v>269</v>
      </c>
      <c r="C116" s="2"/>
      <c r="D116" s="14" t="s">
        <v>270</v>
      </c>
      <c r="E116" s="15" t="s">
        <v>71</v>
      </c>
      <c r="F116" s="15" t="s">
        <v>120</v>
      </c>
      <c r="G116" s="15" t="s">
        <v>12</v>
      </c>
      <c r="H116" s="15" t="s">
        <v>20</v>
      </c>
      <c r="I116" s="25"/>
      <c r="J116" s="7">
        <f>G116+H116-F116-I116</f>
        <v>33</v>
      </c>
      <c r="K116" s="16" t="s">
        <v>318</v>
      </c>
    </row>
    <row r="117" spans="1:11" hidden="1" x14ac:dyDescent="0.25">
      <c r="A117" s="2" t="s">
        <v>180</v>
      </c>
      <c r="B117" s="2" t="s">
        <v>271</v>
      </c>
      <c r="C117" s="2"/>
      <c r="D117" s="2" t="s">
        <v>272</v>
      </c>
      <c r="E117" s="5" t="s">
        <v>71</v>
      </c>
      <c r="F117" s="5" t="s">
        <v>273</v>
      </c>
      <c r="G117" s="5" t="s">
        <v>12</v>
      </c>
      <c r="H117" s="5" t="s">
        <v>20</v>
      </c>
      <c r="I117" s="9"/>
      <c r="J117" s="7">
        <f t="shared" si="1"/>
        <v>-40</v>
      </c>
      <c r="K117" s="12" t="s">
        <v>317</v>
      </c>
    </row>
    <row r="118" spans="1:11" x14ac:dyDescent="0.25">
      <c r="A118" s="14" t="s">
        <v>180</v>
      </c>
      <c r="B118" s="14" t="s">
        <v>274</v>
      </c>
      <c r="C118" s="2"/>
      <c r="D118" s="14" t="s">
        <v>275</v>
      </c>
      <c r="E118" s="15" t="s">
        <v>41</v>
      </c>
      <c r="F118" s="15" t="s">
        <v>291</v>
      </c>
      <c r="G118" s="15" t="s">
        <v>319</v>
      </c>
      <c r="H118" s="15" t="s">
        <v>33</v>
      </c>
      <c r="I118" s="25"/>
      <c r="J118" s="7">
        <f t="shared" si="1"/>
        <v>132</v>
      </c>
      <c r="K118" s="16" t="s">
        <v>318</v>
      </c>
    </row>
    <row r="119" spans="1:11" x14ac:dyDescent="0.25">
      <c r="A119" s="14" t="s">
        <v>180</v>
      </c>
      <c r="B119" s="14" t="s">
        <v>276</v>
      </c>
      <c r="C119" s="2"/>
      <c r="D119" s="14" t="s">
        <v>277</v>
      </c>
      <c r="E119" s="15" t="s">
        <v>324</v>
      </c>
      <c r="F119" s="15" t="s">
        <v>30</v>
      </c>
      <c r="G119" s="15" t="s">
        <v>12</v>
      </c>
      <c r="H119" s="15" t="s">
        <v>20</v>
      </c>
      <c r="I119" s="25"/>
      <c r="J119" s="7">
        <f t="shared" si="1"/>
        <v>29</v>
      </c>
      <c r="K119" s="16" t="s">
        <v>318</v>
      </c>
    </row>
    <row r="120" spans="1:11" x14ac:dyDescent="0.25">
      <c r="A120" s="2" t="s">
        <v>180</v>
      </c>
      <c r="B120" s="2" t="s">
        <v>278</v>
      </c>
      <c r="C120" s="2"/>
      <c r="D120" s="2" t="s">
        <v>279</v>
      </c>
      <c r="E120" s="5" t="s">
        <v>71</v>
      </c>
      <c r="F120" s="5" t="s">
        <v>8</v>
      </c>
      <c r="G120" s="5" t="s">
        <v>12</v>
      </c>
      <c r="H120" s="5" t="s">
        <v>20</v>
      </c>
      <c r="I120" s="9" t="s">
        <v>23</v>
      </c>
      <c r="J120" s="7">
        <f t="shared" si="1"/>
        <v>12</v>
      </c>
      <c r="K120" s="12" t="s">
        <v>318</v>
      </c>
    </row>
    <row r="121" spans="1:11" x14ac:dyDescent="0.25">
      <c r="A121" s="2" t="s">
        <v>180</v>
      </c>
      <c r="B121" s="2" t="s">
        <v>280</v>
      </c>
      <c r="C121" s="2"/>
      <c r="D121" s="2" t="s">
        <v>281</v>
      </c>
      <c r="E121" s="5" t="s">
        <v>71</v>
      </c>
      <c r="F121" s="5" t="s">
        <v>8</v>
      </c>
      <c r="G121" s="5" t="s">
        <v>12</v>
      </c>
      <c r="H121" s="5" t="s">
        <v>20</v>
      </c>
      <c r="I121" s="9" t="s">
        <v>67</v>
      </c>
      <c r="J121" s="7">
        <f t="shared" si="1"/>
        <v>17</v>
      </c>
      <c r="K121" s="12" t="s">
        <v>318</v>
      </c>
    </row>
    <row r="122" spans="1:11" x14ac:dyDescent="0.25">
      <c r="A122" s="2" t="s">
        <v>180</v>
      </c>
      <c r="B122" s="2" t="s">
        <v>282</v>
      </c>
      <c r="C122" s="2"/>
      <c r="D122" s="2" t="s">
        <v>283</v>
      </c>
      <c r="E122" s="5" t="s">
        <v>71</v>
      </c>
      <c r="F122" s="5" t="s">
        <v>71</v>
      </c>
      <c r="G122" s="5" t="s">
        <v>12</v>
      </c>
      <c r="H122" s="5" t="s">
        <v>20</v>
      </c>
      <c r="I122" s="9" t="s">
        <v>80</v>
      </c>
      <c r="J122" s="7">
        <f t="shared" si="1"/>
        <v>15</v>
      </c>
      <c r="K122" s="12" t="s">
        <v>318</v>
      </c>
    </row>
    <row r="123" spans="1:11" hidden="1" x14ac:dyDescent="0.25">
      <c r="A123" s="2" t="s">
        <v>180</v>
      </c>
      <c r="B123" s="2" t="s">
        <v>285</v>
      </c>
      <c r="C123" s="2"/>
      <c r="D123" s="2" t="s">
        <v>286</v>
      </c>
      <c r="E123" s="5" t="s">
        <v>71</v>
      </c>
      <c r="F123" s="5" t="s">
        <v>152</v>
      </c>
      <c r="G123" s="5" t="s">
        <v>12</v>
      </c>
      <c r="H123" s="5" t="s">
        <v>20</v>
      </c>
      <c r="I123" s="9"/>
      <c r="J123" s="7">
        <f t="shared" si="1"/>
        <v>-19</v>
      </c>
      <c r="K123" s="12" t="s">
        <v>317</v>
      </c>
    </row>
    <row r="124" spans="1:11" hidden="1" x14ac:dyDescent="0.25">
      <c r="A124" s="2" t="s">
        <v>180</v>
      </c>
      <c r="B124" s="2" t="s">
        <v>287</v>
      </c>
      <c r="C124" s="2"/>
      <c r="D124" s="2" t="s">
        <v>288</v>
      </c>
      <c r="E124" s="5" t="s">
        <v>71</v>
      </c>
      <c r="F124" s="5" t="s">
        <v>284</v>
      </c>
      <c r="G124" s="5" t="s">
        <v>12</v>
      </c>
      <c r="H124" s="5" t="s">
        <v>20</v>
      </c>
      <c r="I124" s="9"/>
      <c r="J124" s="7">
        <f t="shared" si="1"/>
        <v>-13</v>
      </c>
      <c r="K124" s="12" t="s">
        <v>317</v>
      </c>
    </row>
    <row r="125" spans="1:11" hidden="1" x14ac:dyDescent="0.25">
      <c r="A125" s="2" t="s">
        <v>180</v>
      </c>
      <c r="B125" s="2" t="s">
        <v>289</v>
      </c>
      <c r="C125" s="2"/>
      <c r="D125" s="2" t="s">
        <v>290</v>
      </c>
      <c r="E125" s="5" t="s">
        <v>71</v>
      </c>
      <c r="F125" s="5" t="s">
        <v>291</v>
      </c>
      <c r="G125" s="5" t="s">
        <v>12</v>
      </c>
      <c r="H125" s="5" t="s">
        <v>20</v>
      </c>
      <c r="I125" s="9"/>
      <c r="J125" s="7">
        <f t="shared" si="1"/>
        <v>0</v>
      </c>
      <c r="K125" s="12" t="s">
        <v>317</v>
      </c>
    </row>
  </sheetData>
  <autoFilter ref="A1:K125" xr:uid="{D3E80CF5-EC08-47CD-B9F5-8C26BC224735}">
    <filterColumn colId="10">
      <filters>
        <filter val="COMPRAR"/>
      </filters>
    </filterColumn>
  </autoFilter>
  <mergeCells count="18">
    <mergeCell ref="H44:H45"/>
    <mergeCell ref="I44:I45"/>
    <mergeCell ref="J44:J45"/>
    <mergeCell ref="E41:E42"/>
    <mergeCell ref="E47:E48"/>
    <mergeCell ref="F47:F48"/>
    <mergeCell ref="G47:G48"/>
    <mergeCell ref="H47:H48"/>
    <mergeCell ref="I47:I48"/>
    <mergeCell ref="J47:J48"/>
    <mergeCell ref="F41:F42"/>
    <mergeCell ref="G41:G42"/>
    <mergeCell ref="H41:H42"/>
    <mergeCell ref="I41:I42"/>
    <mergeCell ref="J41:J42"/>
    <mergeCell ref="E44:E45"/>
    <mergeCell ref="F44:F45"/>
    <mergeCell ref="G44:G45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1337-E46A-4233-9534-4E3F3752F576}">
  <dimension ref="A1:F6"/>
  <sheetViews>
    <sheetView workbookViewId="0">
      <selection activeCell="F4" sqref="F4"/>
    </sheetView>
  </sheetViews>
  <sheetFormatPr defaultRowHeight="15" x14ac:dyDescent="0.25"/>
  <cols>
    <col min="1" max="1" width="23.140625" bestFit="1" customWidth="1"/>
    <col min="3" max="3" width="39.42578125" bestFit="1" customWidth="1"/>
  </cols>
  <sheetData>
    <row r="1" spans="1:6" s="23" customFormat="1" ht="45" x14ac:dyDescent="0.25">
      <c r="A1" s="19" t="s">
        <v>0</v>
      </c>
      <c r="B1" s="19" t="s">
        <v>293</v>
      </c>
      <c r="C1" s="19" t="s">
        <v>1</v>
      </c>
      <c r="D1" s="19" t="s">
        <v>292</v>
      </c>
      <c r="E1" s="21" t="s">
        <v>323</v>
      </c>
      <c r="F1" s="22" t="s">
        <v>296</v>
      </c>
    </row>
    <row r="2" spans="1:6" x14ac:dyDescent="0.25">
      <c r="A2" s="17" t="s">
        <v>3</v>
      </c>
      <c r="B2" s="17" t="s">
        <v>76</v>
      </c>
      <c r="C2" s="17" t="s">
        <v>77</v>
      </c>
      <c r="D2" s="18" t="s">
        <v>71</v>
      </c>
      <c r="E2" s="20" t="s">
        <v>64</v>
      </c>
      <c r="F2" s="24">
        <v>3</v>
      </c>
    </row>
    <row r="3" spans="1:6" x14ac:dyDescent="0.25">
      <c r="A3" s="17" t="s">
        <v>3</v>
      </c>
      <c r="B3" s="17" t="s">
        <v>178</v>
      </c>
      <c r="C3" s="17" t="s">
        <v>179</v>
      </c>
      <c r="D3" s="18" t="s">
        <v>71</v>
      </c>
      <c r="E3" s="20" t="s">
        <v>42</v>
      </c>
      <c r="F3" s="24">
        <v>2</v>
      </c>
    </row>
    <row r="4" spans="1:6" x14ac:dyDescent="0.25">
      <c r="A4" s="17" t="s">
        <v>180</v>
      </c>
      <c r="B4" s="17" t="s">
        <v>238</v>
      </c>
      <c r="C4" s="17" t="s">
        <v>239</v>
      </c>
      <c r="D4" s="18" t="s">
        <v>75</v>
      </c>
      <c r="E4" s="20" t="s">
        <v>64</v>
      </c>
      <c r="F4" s="24">
        <v>30</v>
      </c>
    </row>
    <row r="5" spans="1:6" x14ac:dyDescent="0.25">
      <c r="A5" s="17" t="s">
        <v>180</v>
      </c>
      <c r="B5" s="17" t="s">
        <v>269</v>
      </c>
      <c r="C5" s="17" t="s">
        <v>270</v>
      </c>
      <c r="D5" s="18" t="s">
        <v>71</v>
      </c>
      <c r="E5" s="20" t="s">
        <v>75</v>
      </c>
      <c r="F5" s="24">
        <v>8</v>
      </c>
    </row>
    <row r="6" spans="1:6" x14ac:dyDescent="0.25">
      <c r="A6" s="17" t="s">
        <v>180</v>
      </c>
      <c r="B6" s="17" t="s">
        <v>274</v>
      </c>
      <c r="C6" s="17" t="s">
        <v>275</v>
      </c>
      <c r="D6" s="18" t="s">
        <v>41</v>
      </c>
      <c r="E6" s="20" t="s">
        <v>75</v>
      </c>
      <c r="F6" s="24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emergencia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Angélica Marins</dc:creator>
  <cp:lastModifiedBy>user</cp:lastModifiedBy>
  <cp:lastPrinted>2026-06-10T14:39:11Z</cp:lastPrinted>
  <dcterms:created xsi:type="dcterms:W3CDTF">2026-06-10T14:32:07Z</dcterms:created>
  <dcterms:modified xsi:type="dcterms:W3CDTF">2026-06-10T18:30:18Z</dcterms:modified>
</cp:coreProperties>
</file>